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M:\3-Production\Production\Indicateurs production\"/>
    </mc:Choice>
  </mc:AlternateContent>
  <xr:revisionPtr revIDLastSave="0" documentId="13_ncr:1_{9B60148F-B127-4106-BC7C-9639977E57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onnées" sheetId="4" r:id="rId1"/>
    <sheet name="Saisie_Donnees" sheetId="2" r:id="rId2"/>
    <sheet name="Dashboard_TRS" sheetId="1" r:id="rId3"/>
    <sheet name="Parametres_Moules" sheetId="3" r:id="rId4"/>
  </sheets>
  <definedNames>
    <definedName name="_xlnm._FilterDatabase" localSheetId="1" hidden="1">Saisie_Donnees!$A$3:$Y$75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5" i="2" l="1"/>
  <c r="Y25" i="2" s="1"/>
  <c r="X26" i="2"/>
  <c r="Y26" i="2" s="1"/>
  <c r="X27" i="2"/>
  <c r="Y27" i="2" s="1"/>
  <c r="X28" i="2"/>
  <c r="Y28" i="2" s="1"/>
  <c r="X29" i="2"/>
  <c r="Y29" i="2" s="1"/>
  <c r="X30" i="2"/>
  <c r="X31" i="2"/>
  <c r="X32" i="2"/>
  <c r="X33" i="2"/>
  <c r="X34" i="2"/>
  <c r="Y34" i="2" s="1"/>
  <c r="X35" i="2"/>
  <c r="Y35" i="2" s="1"/>
  <c r="X36" i="2"/>
  <c r="Y36" i="2" s="1"/>
  <c r="X37" i="2"/>
  <c r="Y37" i="2" s="1"/>
  <c r="X38" i="2"/>
  <c r="Y38" i="2" s="1"/>
  <c r="X39" i="2"/>
  <c r="Y39" i="2" s="1"/>
  <c r="X40" i="2"/>
  <c r="X41" i="2"/>
  <c r="X42" i="2"/>
  <c r="X43" i="2"/>
  <c r="Y43" i="2" s="1"/>
  <c r="X44" i="2"/>
  <c r="Y44" i="2" s="1"/>
  <c r="X45" i="2"/>
  <c r="Y45" i="2" s="1"/>
  <c r="X46" i="2"/>
  <c r="Y46" i="2" s="1"/>
  <c r="X47" i="2"/>
  <c r="Y47" i="2" s="1"/>
  <c r="X48" i="2"/>
  <c r="Y48" i="2" s="1"/>
  <c r="X49" i="2"/>
  <c r="X50" i="2"/>
  <c r="X51" i="2"/>
  <c r="X52" i="2"/>
  <c r="Y52" i="2" s="1"/>
  <c r="X53" i="2"/>
  <c r="Y53" i="2" s="1"/>
  <c r="X54" i="2"/>
  <c r="X55" i="2"/>
  <c r="Y55" i="2" s="1"/>
  <c r="X56" i="2"/>
  <c r="Y56" i="2" s="1"/>
  <c r="X57" i="2"/>
  <c r="Y57" i="2" s="1"/>
  <c r="X58" i="2"/>
  <c r="X59" i="2"/>
  <c r="X60" i="2"/>
  <c r="X61" i="2"/>
  <c r="Y61" i="2" s="1"/>
  <c r="X62" i="2"/>
  <c r="Y62" i="2" s="1"/>
  <c r="X63" i="2"/>
  <c r="Y63" i="2" s="1"/>
  <c r="X64" i="2"/>
  <c r="Y64" i="2" s="1"/>
  <c r="X65" i="2"/>
  <c r="Y65" i="2" s="1"/>
  <c r="X66" i="2"/>
  <c r="Y5" i="2"/>
  <c r="Y6" i="2"/>
  <c r="Y22" i="2"/>
  <c r="Y23" i="2"/>
  <c r="Y24" i="2"/>
  <c r="Y30" i="2"/>
  <c r="Y31" i="2"/>
  <c r="Y32" i="2"/>
  <c r="Y33" i="2"/>
  <c r="Y40" i="2"/>
  <c r="Y41" i="2"/>
  <c r="Y42" i="2"/>
  <c r="Y49" i="2"/>
  <c r="Y50" i="2"/>
  <c r="Y51" i="2"/>
  <c r="Y54" i="2"/>
  <c r="Y58" i="2"/>
  <c r="Y59" i="2"/>
  <c r="Y60" i="2"/>
  <c r="Y66" i="2"/>
  <c r="Y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X22" i="2" s="1"/>
  <c r="V23" i="2"/>
  <c r="X23" i="2" s="1"/>
  <c r="V24" i="2"/>
  <c r="X24" i="2" s="1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4" i="2"/>
  <c r="X4" i="2"/>
  <c r="T6" i="2"/>
  <c r="T7" i="2"/>
  <c r="T31" i="2"/>
  <c r="T32" i="2"/>
  <c r="T55" i="2"/>
  <c r="T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4" i="2"/>
  <c r="E4" i="2"/>
  <c r="E2" i="4"/>
  <c r="E4" i="4"/>
  <c r="E3" i="4"/>
  <c r="M5" i="2"/>
  <c r="T5" i="2" s="1"/>
  <c r="M6" i="2"/>
  <c r="M7" i="2"/>
  <c r="M8" i="2"/>
  <c r="T8" i="2" s="1"/>
  <c r="M9" i="2"/>
  <c r="T9" i="2" s="1"/>
  <c r="M10" i="2"/>
  <c r="T10" i="2" s="1"/>
  <c r="M11" i="2"/>
  <c r="T11" i="2" s="1"/>
  <c r="M12" i="2"/>
  <c r="T12" i="2" s="1"/>
  <c r="M13" i="2"/>
  <c r="T13" i="2" s="1"/>
  <c r="M14" i="2"/>
  <c r="T14" i="2" s="1"/>
  <c r="M15" i="2"/>
  <c r="T15" i="2" s="1"/>
  <c r="M16" i="2"/>
  <c r="T16" i="2" s="1"/>
  <c r="M17" i="2"/>
  <c r="T17" i="2" s="1"/>
  <c r="M18" i="2"/>
  <c r="T18" i="2" s="1"/>
  <c r="M19" i="2"/>
  <c r="T19" i="2" s="1"/>
  <c r="M20" i="2"/>
  <c r="T20" i="2" s="1"/>
  <c r="M21" i="2"/>
  <c r="T21" i="2" s="1"/>
  <c r="M22" i="2"/>
  <c r="T22" i="2" s="1"/>
  <c r="M23" i="2"/>
  <c r="T23" i="2" s="1"/>
  <c r="M24" i="2"/>
  <c r="T24" i="2" s="1"/>
  <c r="M25" i="2"/>
  <c r="T25" i="2" s="1"/>
  <c r="M26" i="2"/>
  <c r="T26" i="2" s="1"/>
  <c r="M27" i="2"/>
  <c r="T27" i="2" s="1"/>
  <c r="M28" i="2"/>
  <c r="T28" i="2" s="1"/>
  <c r="M29" i="2"/>
  <c r="T29" i="2" s="1"/>
  <c r="M30" i="2"/>
  <c r="T30" i="2" s="1"/>
  <c r="M31" i="2"/>
  <c r="M32" i="2"/>
  <c r="M33" i="2"/>
  <c r="T33" i="2" s="1"/>
  <c r="M34" i="2"/>
  <c r="T34" i="2" s="1"/>
  <c r="M35" i="2"/>
  <c r="T35" i="2" s="1"/>
  <c r="M36" i="2"/>
  <c r="T36" i="2" s="1"/>
  <c r="M37" i="2"/>
  <c r="T37" i="2" s="1"/>
  <c r="M38" i="2"/>
  <c r="T38" i="2" s="1"/>
  <c r="M39" i="2"/>
  <c r="T39" i="2" s="1"/>
  <c r="M40" i="2"/>
  <c r="T40" i="2" s="1"/>
  <c r="M41" i="2"/>
  <c r="T41" i="2" s="1"/>
  <c r="M42" i="2"/>
  <c r="T42" i="2" s="1"/>
  <c r="M43" i="2"/>
  <c r="T43" i="2" s="1"/>
  <c r="M44" i="2"/>
  <c r="T44" i="2" s="1"/>
  <c r="M45" i="2"/>
  <c r="T45" i="2" s="1"/>
  <c r="M46" i="2"/>
  <c r="T46" i="2" s="1"/>
  <c r="M47" i="2"/>
  <c r="T47" i="2" s="1"/>
  <c r="M48" i="2"/>
  <c r="T48" i="2" s="1"/>
  <c r="M49" i="2"/>
  <c r="T49" i="2" s="1"/>
  <c r="M50" i="2"/>
  <c r="T50" i="2" s="1"/>
  <c r="M51" i="2"/>
  <c r="T51" i="2" s="1"/>
  <c r="M52" i="2"/>
  <c r="T52" i="2" s="1"/>
  <c r="M53" i="2"/>
  <c r="T53" i="2" s="1"/>
  <c r="M54" i="2"/>
  <c r="T54" i="2" s="1"/>
  <c r="M55" i="2"/>
  <c r="M56" i="2"/>
  <c r="T56" i="2" s="1"/>
  <c r="M57" i="2"/>
  <c r="T57" i="2" s="1"/>
  <c r="M58" i="2"/>
  <c r="T58" i="2" s="1"/>
  <c r="M59" i="2"/>
  <c r="T59" i="2" s="1"/>
  <c r="M60" i="2"/>
  <c r="T60" i="2" s="1"/>
  <c r="M61" i="2"/>
  <c r="T61" i="2" s="1"/>
  <c r="M62" i="2"/>
  <c r="T62" i="2" s="1"/>
  <c r="M63" i="2"/>
  <c r="T63" i="2" s="1"/>
  <c r="M64" i="2"/>
  <c r="T64" i="2" s="1"/>
  <c r="M65" i="2"/>
  <c r="T65" i="2" s="1"/>
  <c r="M66" i="2"/>
  <c r="T66" i="2" s="1"/>
  <c r="M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X21" i="2" l="1"/>
  <c r="Y21" i="2" s="1"/>
  <c r="X20" i="2"/>
  <c r="Y20" i="2" s="1"/>
  <c r="X19" i="2"/>
  <c r="Y19" i="2" s="1"/>
  <c r="X18" i="2"/>
  <c r="Y18" i="2" s="1"/>
  <c r="X17" i="2"/>
  <c r="Y17" i="2" s="1"/>
  <c r="X16" i="2"/>
  <c r="Y16" i="2" s="1"/>
  <c r="X15" i="2"/>
  <c r="Y15" i="2" s="1"/>
  <c r="X14" i="2"/>
  <c r="Y14" i="2" s="1"/>
  <c r="X13" i="2"/>
  <c r="Y13" i="2" s="1"/>
  <c r="X12" i="2"/>
  <c r="Y12" i="2" s="1"/>
  <c r="X11" i="2"/>
  <c r="Y11" i="2" s="1"/>
  <c r="X10" i="2"/>
  <c r="Y10" i="2" s="1"/>
  <c r="X9" i="2"/>
  <c r="Y9" i="2" s="1"/>
  <c r="X8" i="2"/>
  <c r="Y8" i="2" s="1"/>
  <c r="X7" i="2"/>
  <c r="Y7" i="2" s="1"/>
  <c r="X6" i="2"/>
  <c r="X5" i="2"/>
  <c r="I14" i="1" l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I15" i="1" s="1"/>
  <c r="H12" i="1"/>
  <c r="H15" i="1" s="1"/>
  <c r="G12" i="1"/>
  <c r="G15" i="1" s="1"/>
  <c r="F12" i="1"/>
  <c r="F15" i="1" s="1"/>
  <c r="E12" i="1"/>
  <c r="D12" i="1"/>
  <c r="C12" i="1"/>
  <c r="B12" i="1"/>
  <c r="H66" i="2"/>
  <c r="L66" i="2" s="1"/>
  <c r="H65" i="2"/>
  <c r="L65" i="2" s="1"/>
  <c r="H64" i="2"/>
  <c r="L64" i="2" s="1"/>
  <c r="H63" i="2"/>
  <c r="L63" i="2" s="1"/>
  <c r="H62" i="2"/>
  <c r="L62" i="2" s="1"/>
  <c r="H61" i="2"/>
  <c r="L61" i="2" s="1"/>
  <c r="H60" i="2"/>
  <c r="H59" i="2"/>
  <c r="H58" i="2"/>
  <c r="L58" i="2" s="1"/>
  <c r="H57" i="2"/>
  <c r="L57" i="2" s="1"/>
  <c r="H56" i="2"/>
  <c r="L56" i="2" s="1"/>
  <c r="H55" i="2"/>
  <c r="L55" i="2" s="1"/>
  <c r="H54" i="2"/>
  <c r="L54" i="2" s="1"/>
  <c r="H53" i="2"/>
  <c r="L53" i="2" s="1"/>
  <c r="H52" i="2"/>
  <c r="L52" i="2" s="1"/>
  <c r="H51" i="2"/>
  <c r="H50" i="2"/>
  <c r="H49" i="2"/>
  <c r="H48" i="2"/>
  <c r="L48" i="2" s="1"/>
  <c r="H47" i="2"/>
  <c r="L47" i="2" s="1"/>
  <c r="H46" i="2"/>
  <c r="L46" i="2" s="1"/>
  <c r="H45" i="2"/>
  <c r="L45" i="2" s="1"/>
  <c r="H44" i="2"/>
  <c r="L44" i="2" s="1"/>
  <c r="H43" i="2"/>
  <c r="L43" i="2" s="1"/>
  <c r="H42" i="2"/>
  <c r="H41" i="2"/>
  <c r="H40" i="2"/>
  <c r="H39" i="2"/>
  <c r="L39" i="2" s="1"/>
  <c r="H38" i="2"/>
  <c r="L38" i="2" s="1"/>
  <c r="H37" i="2"/>
  <c r="L37" i="2" s="1"/>
  <c r="H36" i="2"/>
  <c r="L36" i="2" s="1"/>
  <c r="H35" i="2"/>
  <c r="L35" i="2" s="1"/>
  <c r="H34" i="2"/>
  <c r="L34" i="2" s="1"/>
  <c r="H33" i="2"/>
  <c r="H32" i="2"/>
  <c r="H31" i="2"/>
  <c r="H30" i="2"/>
  <c r="L30" i="2" s="1"/>
  <c r="H29" i="2"/>
  <c r="L29" i="2" s="1"/>
  <c r="H28" i="2"/>
  <c r="L28" i="2" s="1"/>
  <c r="H27" i="2"/>
  <c r="L27" i="2" s="1"/>
  <c r="H26" i="2"/>
  <c r="L26" i="2" s="1"/>
  <c r="H25" i="2"/>
  <c r="L25" i="2" s="1"/>
  <c r="H24" i="2"/>
  <c r="L24" i="2" s="1"/>
  <c r="H23" i="2"/>
  <c r="H22" i="2"/>
  <c r="H21" i="2"/>
  <c r="L21" i="2" s="1"/>
  <c r="H20" i="2"/>
  <c r="L20" i="2" s="1"/>
  <c r="H19" i="2"/>
  <c r="L19" i="2" s="1"/>
  <c r="H18" i="2"/>
  <c r="L18" i="2" s="1"/>
  <c r="H17" i="2"/>
  <c r="L17" i="2" s="1"/>
  <c r="H16" i="2"/>
  <c r="L16" i="2" s="1"/>
  <c r="H15" i="2"/>
  <c r="L15" i="2" s="1"/>
  <c r="H14" i="2"/>
  <c r="H13" i="2"/>
  <c r="H12" i="2"/>
  <c r="L12" i="2" s="1"/>
  <c r="H11" i="2"/>
  <c r="L11" i="2" s="1"/>
  <c r="H10" i="2"/>
  <c r="L10" i="2" s="1"/>
  <c r="H9" i="2"/>
  <c r="L9" i="2" s="1"/>
  <c r="H8" i="2"/>
  <c r="L8" i="2" s="1"/>
  <c r="H7" i="2"/>
  <c r="L7" i="2" s="1"/>
  <c r="H6" i="2"/>
  <c r="H5" i="2"/>
  <c r="H4" i="2"/>
  <c r="L4" i="2" s="1"/>
  <c r="U33" i="2" l="1"/>
  <c r="L33" i="2"/>
  <c r="U22" i="2"/>
  <c r="L22" i="2"/>
  <c r="U23" i="2"/>
  <c r="L23" i="2"/>
  <c r="U59" i="2"/>
  <c r="L59" i="2"/>
  <c r="U60" i="2"/>
  <c r="L60" i="2"/>
  <c r="S60" i="2" s="1"/>
  <c r="U13" i="2"/>
  <c r="L13" i="2"/>
  <c r="S13" i="2" s="1"/>
  <c r="U49" i="2"/>
  <c r="L49" i="2"/>
  <c r="U31" i="2"/>
  <c r="L31" i="2"/>
  <c r="U32" i="2"/>
  <c r="L32" i="2"/>
  <c r="U14" i="2"/>
  <c r="L14" i="2"/>
  <c r="U50" i="2"/>
  <c r="L50" i="2"/>
  <c r="S50" i="2" s="1"/>
  <c r="U51" i="2"/>
  <c r="L51" i="2"/>
  <c r="S51" i="2" s="1"/>
  <c r="U40" i="2"/>
  <c r="L40" i="2"/>
  <c r="U5" i="2"/>
  <c r="L5" i="2"/>
  <c r="U41" i="2"/>
  <c r="L41" i="2"/>
  <c r="U6" i="2"/>
  <c r="L6" i="2"/>
  <c r="S6" i="2" s="1"/>
  <c r="U42" i="2"/>
  <c r="L42" i="2"/>
  <c r="S42" i="2" s="1"/>
  <c r="R15" i="2"/>
  <c r="U15" i="2"/>
  <c r="R4" i="2"/>
  <c r="U4" i="2"/>
  <c r="S58" i="2"/>
  <c r="U58" i="2"/>
  <c r="R24" i="2"/>
  <c r="U24" i="2"/>
  <c r="D15" i="1"/>
  <c r="E15" i="1"/>
  <c r="S16" i="2"/>
  <c r="S19" i="2"/>
  <c r="S43" i="2"/>
  <c r="R43" i="2"/>
  <c r="R66" i="2"/>
  <c r="S32" i="2"/>
  <c r="S56" i="2"/>
  <c r="S35" i="2"/>
  <c r="R59" i="2"/>
  <c r="R6" i="2"/>
  <c r="S65" i="2"/>
  <c r="S10" i="2"/>
  <c r="R10" i="2"/>
  <c r="S46" i="2"/>
  <c r="R58" i="2"/>
  <c r="S25" i="2"/>
  <c r="R25" i="2"/>
  <c r="S37" i="2"/>
  <c r="R37" i="2"/>
  <c r="U37" i="2" s="1"/>
  <c r="S49" i="2"/>
  <c r="R49" i="2"/>
  <c r="R60" i="2"/>
  <c r="S28" i="2"/>
  <c r="R33" i="2"/>
  <c r="S26" i="2"/>
  <c r="S38" i="2"/>
  <c r="R50" i="2"/>
  <c r="S5" i="2"/>
  <c r="R5" i="2"/>
  <c r="S29" i="2"/>
  <c r="R29" i="2"/>
  <c r="S41" i="2"/>
  <c r="R41" i="2"/>
  <c r="S31" i="2"/>
  <c r="S55" i="2"/>
  <c r="S11" i="2"/>
  <c r="R11" i="2"/>
  <c r="U11" i="2" s="1"/>
  <c r="S47" i="2"/>
  <c r="R47" i="2"/>
  <c r="S23" i="2"/>
  <c r="R23" i="2"/>
  <c r="S22" i="2"/>
  <c r="R22" i="2"/>
  <c r="R13" i="2"/>
  <c r="S14" i="2"/>
  <c r="R14" i="2"/>
  <c r="S52" i="2"/>
  <c r="B15" i="1"/>
  <c r="C15" i="1"/>
  <c r="G6" i="1"/>
  <c r="S17" i="2"/>
  <c r="S53" i="2"/>
  <c r="S59" i="2"/>
  <c r="S62" i="2"/>
  <c r="S34" i="2"/>
  <c r="S40" i="2"/>
  <c r="S61" i="2"/>
  <c r="S20" i="2"/>
  <c r="S4" i="2"/>
  <c r="S44" i="2"/>
  <c r="S64" i="2"/>
  <c r="S8" i="2"/>
  <c r="S12" i="2"/>
  <c r="S15" i="2"/>
  <c r="S18" i="2"/>
  <c r="S21" i="2"/>
  <c r="S24" i="2"/>
  <c r="S27" i="2"/>
  <c r="S30" i="2"/>
  <c r="S33" i="2"/>
  <c r="S36" i="2"/>
  <c r="S39" i="2"/>
  <c r="S45" i="2"/>
  <c r="S48" i="2"/>
  <c r="S54" i="2"/>
  <c r="S57" i="2"/>
  <c r="S63" i="2"/>
  <c r="S66" i="2"/>
  <c r="S9" i="2"/>
  <c r="S7" i="2"/>
  <c r="U43" i="2" l="1"/>
  <c r="U29" i="2"/>
  <c r="U25" i="2"/>
  <c r="U66" i="2"/>
  <c r="R65" i="2"/>
  <c r="U65" i="2" s="1"/>
  <c r="R28" i="2"/>
  <c r="U28" i="2" s="1"/>
  <c r="R19" i="2"/>
  <c r="U19" i="2" s="1"/>
  <c r="R57" i="2"/>
  <c r="U57" i="2" s="1"/>
  <c r="R34" i="2"/>
  <c r="U34" i="2" s="1"/>
  <c r="R54" i="2"/>
  <c r="U54" i="2" s="1"/>
  <c r="R55" i="2"/>
  <c r="U55" i="2" s="1"/>
  <c r="R26" i="2"/>
  <c r="U26" i="2" s="1"/>
  <c r="R35" i="2"/>
  <c r="U35" i="2" s="1"/>
  <c r="R53" i="2"/>
  <c r="U53" i="2" s="1"/>
  <c r="U10" i="2"/>
  <c r="U47" i="2"/>
  <c r="R21" i="2"/>
  <c r="U21" i="2" s="1"/>
  <c r="R8" i="2"/>
  <c r="U8" i="2" s="1"/>
  <c r="R30" i="2"/>
  <c r="U30" i="2" s="1"/>
  <c r="R45" i="2"/>
  <c r="U45" i="2" s="1"/>
  <c r="R9" i="2"/>
  <c r="U9" i="2" s="1"/>
  <c r="R62" i="2"/>
  <c r="U62" i="2" s="1"/>
  <c r="R31" i="2"/>
  <c r="R61" i="2"/>
  <c r="U61" i="2" s="1"/>
  <c r="R63" i="2"/>
  <c r="R56" i="2"/>
  <c r="R52" i="2"/>
  <c r="R48" i="2"/>
  <c r="R44" i="2"/>
  <c r="U44" i="2" s="1"/>
  <c r="R36" i="2"/>
  <c r="R12" i="2"/>
  <c r="U12" i="2" s="1"/>
  <c r="R40" i="2"/>
  <c r="R20" i="2"/>
  <c r="R51" i="2"/>
  <c r="R39" i="2"/>
  <c r="R7" i="2"/>
  <c r="R46" i="2"/>
  <c r="U46" i="2" s="1"/>
  <c r="R42" i="2"/>
  <c r="R32" i="2"/>
  <c r="R16" i="2"/>
  <c r="R17" i="2"/>
  <c r="R27" i="2"/>
  <c r="R64" i="2"/>
  <c r="U64" i="2" s="1"/>
  <c r="R38" i="2"/>
  <c r="R18" i="2"/>
  <c r="U18" i="2" s="1"/>
  <c r="E6" i="1"/>
  <c r="U16" i="2" l="1"/>
  <c r="U48" i="2"/>
  <c r="U52" i="2"/>
  <c r="U63" i="2"/>
  <c r="U7" i="2"/>
  <c r="U39" i="2"/>
  <c r="U20" i="2"/>
  <c r="U38" i="2"/>
  <c r="U27" i="2"/>
  <c r="U36" i="2"/>
  <c r="U56" i="2"/>
  <c r="U17" i="2"/>
  <c r="C6" i="1"/>
  <c r="A6" i="1" l="1"/>
</calcChain>
</file>

<file path=xl/sharedStrings.xml><?xml version="1.0" encoding="utf-8"?>
<sst xmlns="http://schemas.openxmlformats.org/spreadsheetml/2006/main" count="272" uniqueCount="79">
  <si>
    <t>D140.1</t>
  </si>
  <si>
    <t>D180.1</t>
  </si>
  <si>
    <t>D230.1</t>
  </si>
  <si>
    <t>D230.2</t>
  </si>
  <si>
    <t>D230.3</t>
  </si>
  <si>
    <t>D230.4</t>
  </si>
  <si>
    <t>D280.1</t>
  </si>
  <si>
    <t>D280.2</t>
  </si>
  <si>
    <t>D280.3</t>
  </si>
  <si>
    <t>D280.4</t>
  </si>
  <si>
    <t>F220.1</t>
  </si>
  <si>
    <t>F220.2</t>
  </si>
  <si>
    <t>F220.3</t>
  </si>
  <si>
    <t>F220.4</t>
  </si>
  <si>
    <t>F150.1</t>
  </si>
  <si>
    <t>F150.2</t>
  </si>
  <si>
    <t>Date</t>
  </si>
  <si>
    <t>Poste</t>
  </si>
  <si>
    <t>Presse</t>
  </si>
  <si>
    <t>Code Moule</t>
  </si>
  <si>
    <t>Temps Ouv. (min)</t>
  </si>
  <si>
    <t>Arrêts Planif. (min)</t>
  </si>
  <si>
    <t>Temps Req. (min)</t>
  </si>
  <si>
    <t>Pannes (min)</t>
  </si>
  <si>
    <t>Chgt Moule (min)</t>
  </si>
  <si>
    <t>Temps Mach. (min)</t>
  </si>
  <si>
    <t>Qté Totale (pcs)</t>
  </si>
  <si>
    <t>Qté Conforme (pcs)</t>
  </si>
  <si>
    <t>Rebuts Prod (pcs)</t>
  </si>
  <si>
    <t>Cycle Théo (s)</t>
  </si>
  <si>
    <t>Taux Disp. (Td)</t>
  </si>
  <si>
    <t>Taux Perf. (Tp)</t>
  </si>
  <si>
    <t>Taux Qual. (Tq)</t>
  </si>
  <si>
    <t>TRS</t>
  </si>
  <si>
    <t>Nuit</t>
  </si>
  <si>
    <t>2.1.30173</t>
  </si>
  <si>
    <t>2.1.30172</t>
  </si>
  <si>
    <t>2.1.30171</t>
  </si>
  <si>
    <t>Matin</t>
  </si>
  <si>
    <t>TABLEAU DE BORD DE PERFORMANCE - ATELIER INJECTION</t>
  </si>
  <si>
    <t>Indicateurs Clés de Performance (KPIs Global Ateliers)</t>
  </si>
  <si>
    <t>TRS MOYEN</t>
  </si>
  <si>
    <t>DISPONIBILITÉ (Td)</t>
  </si>
  <si>
    <t>PERFORMANCE (Tp)</t>
  </si>
  <si>
    <t>QUALITÉ (Tq)</t>
  </si>
  <si>
    <t>Performance Détaillée par Presse</t>
  </si>
  <si>
    <t>N° Presse</t>
  </si>
  <si>
    <t>Qté Prod (pcs)</t>
  </si>
  <si>
    <t>Qté Conf (pcs)</t>
  </si>
  <si>
    <t>Td Moy.</t>
  </si>
  <si>
    <t>Tp Moy.</t>
  </si>
  <si>
    <t>Tq Moy.</t>
  </si>
  <si>
    <t>TRS Moy.</t>
  </si>
  <si>
    <t>P-01</t>
  </si>
  <si>
    <t>P-02</t>
  </si>
  <si>
    <t>P-03</t>
  </si>
  <si>
    <t>TOTAL / MOYENNE</t>
  </si>
  <si>
    <t>BASE DE DONNÉES - OUTILLAGES &amp; MOULES</t>
  </si>
  <si>
    <t>Nom de la Pièce</t>
  </si>
  <si>
    <t>Nbr Empreintes</t>
  </si>
  <si>
    <t>cover</t>
  </si>
  <si>
    <t>BASE</t>
  </si>
  <si>
    <t>INSERT</t>
  </si>
  <si>
    <t>Temps standards (s)</t>
  </si>
  <si>
    <t>Nbre d'heures dépensées (h)</t>
  </si>
  <si>
    <t xml:space="preserve">Recette  (h) </t>
  </si>
  <si>
    <t>DLE (%)</t>
  </si>
  <si>
    <t>ATELIER INJECTION PLASTIQUE</t>
  </si>
  <si>
    <t>Désignation Article</t>
  </si>
  <si>
    <t>Cover KIKO</t>
  </si>
  <si>
    <t>Base KIKO</t>
  </si>
  <si>
    <t>Insert KIKO</t>
  </si>
  <si>
    <t>Rebuts Dém / Réglage (pcs)</t>
  </si>
  <si>
    <t>Tps de cycle (s)</t>
  </si>
  <si>
    <t>Désig Article</t>
  </si>
  <si>
    <t>Code Article</t>
  </si>
  <si>
    <t>Après-Midi</t>
  </si>
  <si>
    <t>temps de dém/arrêt (min)</t>
  </si>
  <si>
    <t>Presses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</si>
</sst>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0.0"/>
    <numFmt numFmtId="169" formatCode="0.0%"/>
    <numFmt numFmtId="170" formatCode="yyyy\-mm\-dd"/>
    <numFmt numFmtId="174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3"/>
      <color rgb="FF1B365D"/>
      <name val="Calibri"/>
      <charset val="134"/>
    </font>
    <font>
      <b/>
      <sz val="11"/>
      <color rgb="FFFFFFFF"/>
      <name val="Calibri"/>
      <charset val="134"/>
    </font>
    <font>
      <sz val="11"/>
      <name val="Calibri"/>
      <charset val="134"/>
    </font>
    <font>
      <b/>
      <sz val="16"/>
      <color rgb="FFFFFFFF"/>
      <name val="Calibri"/>
      <charset val="134"/>
    </font>
    <font>
      <b/>
      <sz val="10"/>
      <color rgb="FFFFFFFF"/>
      <name val="Calibri"/>
      <charset val="134"/>
    </font>
    <font>
      <b/>
      <sz val="18"/>
      <color rgb="FF1B365D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3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C4D75"/>
        <bgColor rgb="FF2C4D75"/>
      </patternFill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4F7FA"/>
        <bgColor rgb="FFF4F7FA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4F7FA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  <border>
      <left/>
      <right style="thin">
        <color rgb="FFD9D9D9"/>
      </right>
      <top style="medium">
        <color auto="1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169" fontId="4" fillId="0" borderId="1" xfId="0" applyNumberFormat="1" applyFont="1" applyBorder="1"/>
    <xf numFmtId="0" fontId="8" fillId="5" borderId="2" xfId="0" applyFont="1" applyFill="1" applyBorder="1" applyAlignment="1">
      <alignment horizontal="center"/>
    </xf>
    <xf numFmtId="3" fontId="8" fillId="5" borderId="2" xfId="0" applyNumberFormat="1" applyFont="1" applyFill="1" applyBorder="1"/>
    <xf numFmtId="169" fontId="8" fillId="5" borderId="2" xfId="0" applyNumberFormat="1" applyFont="1" applyFill="1" applyBorder="1"/>
    <xf numFmtId="0" fontId="2" fillId="0" borderId="0" xfId="0" applyFont="1"/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169" fontId="7" fillId="4" borderId="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70" fontId="8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/>
    </xf>
    <xf numFmtId="9" fontId="0" fillId="6" borderId="0" xfId="1" applyFont="1" applyFill="1" applyAlignment="1"/>
    <xf numFmtId="0" fontId="0" fillId="0" borderId="0" xfId="0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/>
    <xf numFmtId="3" fontId="4" fillId="6" borderId="0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 wrapText="1"/>
    </xf>
    <xf numFmtId="2" fontId="0" fillId="0" borderId="0" xfId="0" applyNumberFormat="1"/>
    <xf numFmtId="168" fontId="4" fillId="7" borderId="0" xfId="0" applyNumberFormat="1" applyFont="1" applyFill="1" applyBorder="1" applyAlignment="1">
      <alignment horizontal="right"/>
    </xf>
    <xf numFmtId="169" fontId="4" fillId="6" borderId="0" xfId="0" applyNumberFormat="1" applyFont="1" applyFill="1" applyBorder="1" applyAlignment="1">
      <alignment horizontal="right"/>
    </xf>
    <xf numFmtId="174" fontId="0" fillId="6" borderId="0" xfId="0" applyNumberFormat="1" applyFill="1"/>
    <xf numFmtId="174" fontId="0" fillId="0" borderId="0" xfId="0" applyNumberFormat="1"/>
    <xf numFmtId="0" fontId="8" fillId="0" borderId="0" xfId="0" applyFont="1" applyBorder="1" applyAlignment="1">
      <alignment horizontal="left" vertical="center"/>
    </xf>
    <xf numFmtId="0" fontId="15" fillId="6" borderId="0" xfId="0" applyFont="1" applyFill="1" applyAlignment="1">
      <alignment horizontal="center"/>
    </xf>
    <xf numFmtId="0" fontId="14" fillId="0" borderId="3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4" fillId="0" borderId="4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" fillId="8" borderId="0" xfId="0" applyFont="1" applyFill="1"/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fr-F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Comparatif TRS par Presse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Dashboard_TRS!$I$11</c:f>
              <c:strCache>
                <c:ptCount val="1"/>
                <c:pt idx="0">
                  <c:v>TRS Moy.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cat>
            <c:strRef>
              <c:f>Dashboard_TRS!$A$12:$A$14</c:f>
              <c:strCache>
                <c:ptCount val="3"/>
                <c:pt idx="0">
                  <c:v>P-01</c:v>
                </c:pt>
                <c:pt idx="1">
                  <c:v>P-02</c:v>
                </c:pt>
                <c:pt idx="2">
                  <c:v>P-03</c:v>
                </c:pt>
              </c:strCache>
            </c:strRef>
          </c:cat>
          <c:val>
            <c:numRef>
              <c:f>Dashboard_TRS!$I$12:$I$14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C-402D-A2E8-73201F595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fr-F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Presse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fr-F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TRS (%)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fr-F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3fda105-e274-4cef-a91a-71f8fe629245}"/>
      </c:ext>
    </c:extLst>
  </c:chart>
  <c:txPr>
    <a:bodyPr/>
    <a:lstStyle/>
    <a:p>
      <a:pPr>
        <a:defRPr lang="fr-FR"/>
      </a:pPr>
      <a:endParaRPr lang="fr-T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400000" cy="38971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3" sqref="D3"/>
    </sheetView>
  </sheetViews>
  <sheetFormatPr baseColWidth="10" defaultColWidth="11" defaultRowHeight="14.4"/>
  <cols>
    <col min="5" max="5" width="16.33203125" customWidth="1"/>
  </cols>
  <sheetData>
    <row r="1" spans="1:5">
      <c r="A1" s="48" t="s">
        <v>78</v>
      </c>
      <c r="C1" s="48" t="s">
        <v>75</v>
      </c>
      <c r="D1" s="48" t="s">
        <v>74</v>
      </c>
      <c r="E1" s="48" t="s">
        <v>73</v>
      </c>
    </row>
    <row r="2" spans="1:5" ht="15.6">
      <c r="A2" s="43" t="s">
        <v>0</v>
      </c>
      <c r="C2" s="22" t="s">
        <v>37</v>
      </c>
      <c r="D2" s="33" t="s">
        <v>69</v>
      </c>
      <c r="E2" s="36">
        <f>39/8</f>
        <v>4.875</v>
      </c>
    </row>
    <row r="3" spans="1:5" ht="15.6">
      <c r="A3" s="44" t="s">
        <v>1</v>
      </c>
      <c r="C3" s="22" t="s">
        <v>36</v>
      </c>
      <c r="D3" s="33" t="s">
        <v>70</v>
      </c>
      <c r="E3" s="36">
        <f>38/8</f>
        <v>4.75</v>
      </c>
    </row>
    <row r="4" spans="1:5" ht="15.6">
      <c r="A4" s="45" t="s">
        <v>2</v>
      </c>
      <c r="C4" s="22" t="s">
        <v>35</v>
      </c>
      <c r="D4" s="33" t="s">
        <v>71</v>
      </c>
      <c r="E4" s="36">
        <f>30/8</f>
        <v>3.75</v>
      </c>
    </row>
    <row r="5" spans="1:5" ht="15.6">
      <c r="A5" s="44" t="s">
        <v>3</v>
      </c>
    </row>
    <row r="6" spans="1:5" ht="15.6">
      <c r="A6" s="45" t="s">
        <v>4</v>
      </c>
    </row>
    <row r="7" spans="1:5" ht="15.6">
      <c r="A7" s="44" t="s">
        <v>5</v>
      </c>
    </row>
    <row r="8" spans="1:5" ht="15.6">
      <c r="A8" s="44" t="s">
        <v>6</v>
      </c>
    </row>
    <row r="9" spans="1:5" ht="15.6">
      <c r="A9" s="44" t="s">
        <v>7</v>
      </c>
    </row>
    <row r="10" spans="1:5" ht="15.6">
      <c r="A10" s="44" t="s">
        <v>8</v>
      </c>
    </row>
    <row r="11" spans="1:5" ht="15.6">
      <c r="A11" s="44" t="s">
        <v>9</v>
      </c>
    </row>
    <row r="12" spans="1:5" ht="15.6">
      <c r="A12" s="46" t="s">
        <v>10</v>
      </c>
    </row>
    <row r="13" spans="1:5" ht="15.6">
      <c r="A13" s="46" t="s">
        <v>11</v>
      </c>
    </row>
    <row r="14" spans="1:5" ht="15.6">
      <c r="A14" s="46" t="s">
        <v>12</v>
      </c>
    </row>
    <row r="15" spans="1:5" ht="15.6">
      <c r="A15" s="46" t="s">
        <v>13</v>
      </c>
    </row>
    <row r="16" spans="1:5" ht="15.6">
      <c r="A16" s="46" t="s">
        <v>14</v>
      </c>
    </row>
    <row r="17" spans="1:1" ht="15.6">
      <c r="A17" s="47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A9E0C0D9-828D-47F1-B299-2D9417C25733}">
          <x14:formula1>
            <xm:f>Parametres_Moules!$A$4:$A$6</xm:f>
          </x14:formula1>
          <xm:sqref>C4 C2:C3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2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2" sqref="F12"/>
    </sheetView>
  </sheetViews>
  <sheetFormatPr baseColWidth="10" defaultColWidth="8.88671875" defaultRowHeight="15.6"/>
  <cols>
    <col min="1" max="1" width="12.21875" style="27" customWidth="1"/>
    <col min="2" max="2" width="10.6640625" style="27" customWidth="1"/>
    <col min="3" max="3" width="10.33203125" style="29" customWidth="1"/>
    <col min="4" max="5" width="11.5546875" style="18" customWidth="1"/>
    <col min="6" max="6" width="9.6640625" style="19" customWidth="1"/>
    <col min="7" max="7" width="9.21875" style="19" customWidth="1"/>
    <col min="8" max="8" width="8.21875" style="18" customWidth="1"/>
    <col min="9" max="9" width="8" style="19" customWidth="1"/>
    <col min="10" max="10" width="10.44140625" style="19" customWidth="1"/>
    <col min="11" max="11" width="6.5546875" style="19" customWidth="1"/>
    <col min="12" max="12" width="9" style="19" customWidth="1"/>
    <col min="13" max="13" width="9.88671875" style="19" customWidth="1"/>
    <col min="14" max="14" width="10" style="19" customWidth="1"/>
    <col min="15" max="15" width="8.88671875" style="19" customWidth="1"/>
    <col min="16" max="16" width="11" style="19" customWidth="1"/>
    <col min="17" max="17" width="8.33203125" style="18" customWidth="1"/>
    <col min="18" max="18" width="8.77734375" style="18" customWidth="1"/>
    <col min="19" max="19" width="10" style="18" customWidth="1"/>
    <col min="20" max="20" width="9.5546875" style="18" customWidth="1"/>
    <col min="21" max="21" width="9.33203125" style="18" customWidth="1"/>
    <col min="22" max="22" width="10.21875" customWidth="1"/>
    <col min="23" max="23" width="12.5546875" customWidth="1"/>
    <col min="26" max="16384" width="8.88671875" style="18"/>
  </cols>
  <sheetData>
    <row r="1" spans="1:25" ht="17.399999999999999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3" spans="1:25" ht="57.6" customHeight="1">
      <c r="A3" s="28" t="s">
        <v>16</v>
      </c>
      <c r="B3" s="20" t="s">
        <v>17</v>
      </c>
      <c r="C3" s="30" t="s">
        <v>18</v>
      </c>
      <c r="D3" s="20" t="s">
        <v>19</v>
      </c>
      <c r="E3" s="24" t="s">
        <v>68</v>
      </c>
      <c r="F3" s="20" t="s">
        <v>20</v>
      </c>
      <c r="G3" s="20" t="s">
        <v>21</v>
      </c>
      <c r="H3" s="20" t="s">
        <v>22</v>
      </c>
      <c r="I3" s="20" t="s">
        <v>23</v>
      </c>
      <c r="J3" s="20" t="s">
        <v>77</v>
      </c>
      <c r="K3" s="20" t="s">
        <v>24</v>
      </c>
      <c r="L3" s="20" t="s">
        <v>25</v>
      </c>
      <c r="M3" s="20" t="s">
        <v>26</v>
      </c>
      <c r="N3" s="20" t="s">
        <v>27</v>
      </c>
      <c r="O3" s="35" t="s">
        <v>72</v>
      </c>
      <c r="P3" s="20" t="s">
        <v>28</v>
      </c>
      <c r="Q3" s="20" t="s">
        <v>29</v>
      </c>
      <c r="R3" s="20" t="s">
        <v>30</v>
      </c>
      <c r="S3" s="20" t="s">
        <v>31</v>
      </c>
      <c r="T3" s="20" t="s">
        <v>32</v>
      </c>
      <c r="U3" s="20" t="s">
        <v>33</v>
      </c>
      <c r="V3" s="24" t="s">
        <v>63</v>
      </c>
      <c r="W3" s="24" t="s">
        <v>64</v>
      </c>
      <c r="X3" s="24" t="s">
        <v>65</v>
      </c>
      <c r="Y3" s="24" t="s">
        <v>66</v>
      </c>
    </row>
    <row r="4" spans="1:25">
      <c r="A4" s="21">
        <v>46296</v>
      </c>
      <c r="B4" s="41" t="s">
        <v>34</v>
      </c>
      <c r="C4" s="31" t="s">
        <v>0</v>
      </c>
      <c r="D4" s="22" t="s">
        <v>35</v>
      </c>
      <c r="E4" s="32" t="str">
        <f>VLOOKUP(D4,Données!$C$2:$D$1300,2,FALSE)</f>
        <v>Insert KIKO</v>
      </c>
      <c r="F4" s="23">
        <v>480</v>
      </c>
      <c r="G4" s="23">
        <v>480</v>
      </c>
      <c r="H4" s="32">
        <f t="shared" ref="H4:H6" si="0">F4-G4</f>
        <v>0</v>
      </c>
      <c r="I4" s="23">
        <v>0</v>
      </c>
      <c r="J4" s="23"/>
      <c r="K4" s="23">
        <v>0</v>
      </c>
      <c r="L4" s="34">
        <f t="shared" ref="L4:L66" si="1">H4-I4-J4-K4</f>
        <v>0</v>
      </c>
      <c r="M4" s="34">
        <f>+N4+O4+P4</f>
        <v>0</v>
      </c>
      <c r="N4" s="23">
        <v>0</v>
      </c>
      <c r="O4" s="23">
        <v>0</v>
      </c>
      <c r="P4" s="23">
        <v>0</v>
      </c>
      <c r="Q4" s="37">
        <f>VLOOKUP(D4,Données!$C$2:$E$1300,3,FALSE)</f>
        <v>3.75</v>
      </c>
      <c r="R4" s="38" t="str">
        <f>IF(H4&gt;0,L4/H4,"")</f>
        <v/>
      </c>
      <c r="S4" s="38" t="str">
        <f>IF(L4=0,"",M4/(L4*60/Q4))</f>
        <v/>
      </c>
      <c r="T4" s="38" t="str">
        <f>IF(M4&gt;0,N4/M4,"")</f>
        <v/>
      </c>
      <c r="U4" s="38" t="str">
        <f>IF(H4&gt;0,R4*S4*T4,"")</f>
        <v/>
      </c>
      <c r="V4" s="25">
        <f>VLOOKUP(D4,Données!$C$2:$E$1300,3,FALSE)</f>
        <v>3.75</v>
      </c>
      <c r="W4">
        <v>0</v>
      </c>
      <c r="X4" s="39">
        <f>+V4*N4/3600</f>
        <v>0</v>
      </c>
      <c r="Y4" s="26" t="str">
        <f>IF(W4=0,"",X4/W4)</f>
        <v/>
      </c>
    </row>
    <row r="5" spans="1:25">
      <c r="A5" s="21">
        <v>46296</v>
      </c>
      <c r="B5" s="41" t="s">
        <v>34</v>
      </c>
      <c r="C5" s="31" t="s">
        <v>2</v>
      </c>
      <c r="D5" s="22" t="s">
        <v>36</v>
      </c>
      <c r="E5" s="32" t="str">
        <f>VLOOKUP(D5,Données!$C$2:$D$1300,2,FALSE)</f>
        <v>Base KIKO</v>
      </c>
      <c r="F5" s="23">
        <v>480</v>
      </c>
      <c r="G5" s="23">
        <v>480</v>
      </c>
      <c r="H5" s="32">
        <f t="shared" si="0"/>
        <v>0</v>
      </c>
      <c r="I5" s="23">
        <v>0</v>
      </c>
      <c r="J5" s="23"/>
      <c r="K5" s="23">
        <v>0</v>
      </c>
      <c r="L5" s="34">
        <f t="shared" si="1"/>
        <v>0</v>
      </c>
      <c r="M5" s="34">
        <f t="shared" ref="M5:M66" si="2">+N5+O5+P5</f>
        <v>0</v>
      </c>
      <c r="N5" s="23">
        <v>0</v>
      </c>
      <c r="O5" s="23">
        <v>0</v>
      </c>
      <c r="P5" s="23">
        <v>0</v>
      </c>
      <c r="Q5" s="37">
        <f>VLOOKUP(D5,Données!$C$2:$E$1300,3,FALSE)</f>
        <v>4.75</v>
      </c>
      <c r="R5" s="38" t="str">
        <f>IF(H5&gt;0,L5/H5,"")</f>
        <v/>
      </c>
      <c r="S5" s="38" t="str">
        <f t="shared" ref="S5:S66" si="3">IF(L5=0,"",M5/(L5*60/Q5))</f>
        <v/>
      </c>
      <c r="T5" s="38" t="str">
        <f t="shared" ref="T5:T66" si="4">IF(M5&gt;0,N5/M5,"")</f>
        <v/>
      </c>
      <c r="U5" s="38" t="str">
        <f t="shared" ref="U5:U66" si="5">IF(H5&gt;0,R5*S5*T5,"")</f>
        <v/>
      </c>
      <c r="V5" s="25">
        <f>VLOOKUP(D5,Données!$C$2:$E$1300,3,FALSE)</f>
        <v>4.75</v>
      </c>
      <c r="W5">
        <v>0</v>
      </c>
      <c r="X5" s="39">
        <f>+V5*N5/3600</f>
        <v>0</v>
      </c>
      <c r="Y5" s="26" t="str">
        <f t="shared" ref="Y5:Y66" si="6">IF(W5=0,"",X5/W5)</f>
        <v/>
      </c>
    </row>
    <row r="6" spans="1:25">
      <c r="A6" s="21">
        <v>46296</v>
      </c>
      <c r="B6" s="41" t="s">
        <v>34</v>
      </c>
      <c r="C6" s="31" t="s">
        <v>4</v>
      </c>
      <c r="D6" s="22" t="s">
        <v>37</v>
      </c>
      <c r="E6" s="32" t="str">
        <f>VLOOKUP(D6,Données!$C$2:$D$1300,2,FALSE)</f>
        <v>Cover KIKO</v>
      </c>
      <c r="F6" s="23">
        <v>480</v>
      </c>
      <c r="G6" s="23">
        <v>480</v>
      </c>
      <c r="H6" s="32">
        <f t="shared" si="0"/>
        <v>0</v>
      </c>
      <c r="I6" s="23">
        <v>0</v>
      </c>
      <c r="J6" s="23"/>
      <c r="K6" s="23">
        <v>0</v>
      </c>
      <c r="L6" s="34">
        <f t="shared" si="1"/>
        <v>0</v>
      </c>
      <c r="M6" s="34">
        <f t="shared" si="2"/>
        <v>0</v>
      </c>
      <c r="N6" s="23">
        <v>0</v>
      </c>
      <c r="O6" s="23">
        <v>0</v>
      </c>
      <c r="P6" s="23">
        <v>0</v>
      </c>
      <c r="Q6" s="37">
        <f>VLOOKUP(D6,Données!$C$2:$E$1300,3,FALSE)</f>
        <v>4.875</v>
      </c>
      <c r="R6" s="38" t="str">
        <f>IF(H6&gt;0,L6/H6,"")</f>
        <v/>
      </c>
      <c r="S6" s="38" t="str">
        <f t="shared" si="3"/>
        <v/>
      </c>
      <c r="T6" s="38" t="str">
        <f t="shared" si="4"/>
        <v/>
      </c>
      <c r="U6" s="38" t="str">
        <f t="shared" si="5"/>
        <v/>
      </c>
      <c r="V6" s="25">
        <f>VLOOKUP(D6,Données!$C$2:$E$1300,3,FALSE)</f>
        <v>4.875</v>
      </c>
      <c r="W6">
        <v>0</v>
      </c>
      <c r="X6" s="39">
        <f>+V6*N6/3600</f>
        <v>0</v>
      </c>
      <c r="Y6" s="26" t="str">
        <f t="shared" si="6"/>
        <v/>
      </c>
    </row>
    <row r="7" spans="1:25">
      <c r="A7" s="21">
        <v>46296</v>
      </c>
      <c r="B7" s="41" t="s">
        <v>38</v>
      </c>
      <c r="C7" s="31" t="s">
        <v>0</v>
      </c>
      <c r="D7" s="22" t="s">
        <v>35</v>
      </c>
      <c r="E7" s="32" t="str">
        <f>VLOOKUP(D7,Données!$C$2:$D$1300,2,FALSE)</f>
        <v>Insert KIKO</v>
      </c>
      <c r="F7" s="23">
        <v>480</v>
      </c>
      <c r="G7" s="23"/>
      <c r="H7" s="32">
        <f t="shared" ref="H7:H9" si="7">F7-G7</f>
        <v>480</v>
      </c>
      <c r="I7" s="23">
        <v>0</v>
      </c>
      <c r="J7" s="23">
        <v>45</v>
      </c>
      <c r="K7" s="23">
        <v>0</v>
      </c>
      <c r="L7" s="34">
        <f>H7-I7-J7-K7</f>
        <v>435</v>
      </c>
      <c r="M7" s="34">
        <f t="shared" si="2"/>
        <v>2840</v>
      </c>
      <c r="N7" s="23">
        <v>2820</v>
      </c>
      <c r="O7" s="23">
        <v>20</v>
      </c>
      <c r="P7" s="23">
        <v>0</v>
      </c>
      <c r="Q7" s="37">
        <f>VLOOKUP(D7,Données!$C$2:$E$1300,3,FALSE)</f>
        <v>3.75</v>
      </c>
      <c r="R7" s="38">
        <f>IF(H7&gt;0,L7/H7,"")</f>
        <v>0.90625</v>
      </c>
      <c r="S7" s="38">
        <f t="shared" si="3"/>
        <v>0.40804597701149425</v>
      </c>
      <c r="T7" s="38">
        <f t="shared" si="4"/>
        <v>0.99295774647887325</v>
      </c>
      <c r="U7" s="38">
        <f t="shared" si="5"/>
        <v>0.3671875</v>
      </c>
      <c r="V7" s="25">
        <f>VLOOKUP(D7,Données!$C$2:$E$1300,3,FALSE)</f>
        <v>3.75</v>
      </c>
      <c r="W7">
        <v>8</v>
      </c>
      <c r="X7" s="39">
        <f>+V7*N7/3600</f>
        <v>2.9375</v>
      </c>
      <c r="Y7" s="26">
        <f t="shared" si="6"/>
        <v>0.3671875</v>
      </c>
    </row>
    <row r="8" spans="1:25">
      <c r="A8" s="21">
        <v>46296</v>
      </c>
      <c r="B8" s="41" t="s">
        <v>38</v>
      </c>
      <c r="C8" s="31" t="s">
        <v>2</v>
      </c>
      <c r="D8" s="22" t="s">
        <v>36</v>
      </c>
      <c r="E8" s="32" t="str">
        <f>VLOOKUP(D8,Données!$C$2:$D$1300,2,FALSE)</f>
        <v>Base KIKO</v>
      </c>
      <c r="F8" s="23">
        <v>480</v>
      </c>
      <c r="G8" s="23"/>
      <c r="H8" s="32">
        <f t="shared" si="7"/>
        <v>480</v>
      </c>
      <c r="I8" s="23">
        <v>0</v>
      </c>
      <c r="J8" s="23">
        <v>45</v>
      </c>
      <c r="K8" s="23">
        <v>0</v>
      </c>
      <c r="L8" s="34">
        <f t="shared" si="1"/>
        <v>435</v>
      </c>
      <c r="M8" s="34">
        <f t="shared" si="2"/>
        <v>3067</v>
      </c>
      <c r="N8" s="23">
        <v>3053</v>
      </c>
      <c r="O8" s="23">
        <v>14</v>
      </c>
      <c r="P8" s="23">
        <v>0</v>
      </c>
      <c r="Q8" s="37">
        <f>VLOOKUP(D8,Données!$C$2:$E$1300,3,FALSE)</f>
        <v>4.75</v>
      </c>
      <c r="R8" s="38">
        <f>IF(H8&gt;0,L8/H8,"")</f>
        <v>0.90625</v>
      </c>
      <c r="S8" s="38">
        <f t="shared" si="3"/>
        <v>0.5581704980842912</v>
      </c>
      <c r="T8" s="38">
        <f t="shared" si="4"/>
        <v>0.99543527877404625</v>
      </c>
      <c r="U8" s="38">
        <f t="shared" si="5"/>
        <v>0.50353298611111119</v>
      </c>
      <c r="V8" s="25">
        <f>VLOOKUP(D8,Données!$C$2:$E$1300,3,FALSE)</f>
        <v>4.75</v>
      </c>
      <c r="W8">
        <v>8</v>
      </c>
      <c r="X8" s="39">
        <f>+V8*N8/3600</f>
        <v>4.0282638888888886</v>
      </c>
      <c r="Y8" s="26">
        <f t="shared" si="6"/>
        <v>0.50353298611111108</v>
      </c>
    </row>
    <row r="9" spans="1:25">
      <c r="A9" s="21">
        <v>46296</v>
      </c>
      <c r="B9" s="41" t="s">
        <v>38</v>
      </c>
      <c r="C9" s="31" t="s">
        <v>4</v>
      </c>
      <c r="D9" s="22" t="s">
        <v>37</v>
      </c>
      <c r="E9" s="32" t="str">
        <f>VLOOKUP(D9,Données!$C$2:$D$1300,2,FALSE)</f>
        <v>Cover KIKO</v>
      </c>
      <c r="F9" s="23">
        <v>480</v>
      </c>
      <c r="G9" s="23"/>
      <c r="H9" s="32">
        <f t="shared" si="7"/>
        <v>480</v>
      </c>
      <c r="I9" s="23">
        <v>0</v>
      </c>
      <c r="J9" s="23">
        <v>45</v>
      </c>
      <c r="K9" s="23">
        <v>0</v>
      </c>
      <c r="L9" s="34">
        <f t="shared" si="1"/>
        <v>435</v>
      </c>
      <c r="M9" s="34">
        <f t="shared" si="2"/>
        <v>4363</v>
      </c>
      <c r="N9" s="23">
        <v>4341</v>
      </c>
      <c r="O9" s="23">
        <v>22</v>
      </c>
      <c r="P9" s="23">
        <v>0</v>
      </c>
      <c r="Q9" s="37">
        <f>VLOOKUP(D9,Données!$C$2:$E$1300,3,FALSE)</f>
        <v>4.875</v>
      </c>
      <c r="R9" s="38">
        <f>IF(H9&gt;0,L9/H9,"")</f>
        <v>0.90625</v>
      </c>
      <c r="S9" s="38">
        <f t="shared" si="3"/>
        <v>0.81492816091954012</v>
      </c>
      <c r="T9" s="38">
        <f t="shared" si="4"/>
        <v>0.99495759798303918</v>
      </c>
      <c r="U9" s="38">
        <f t="shared" si="5"/>
        <v>0.73480468749999983</v>
      </c>
      <c r="V9" s="25">
        <f>VLOOKUP(D9,Données!$C$2:$E$1300,3,FALSE)</f>
        <v>4.875</v>
      </c>
      <c r="W9">
        <v>8</v>
      </c>
      <c r="X9" s="39">
        <f>+V9*N9/3600</f>
        <v>5.8784375000000004</v>
      </c>
      <c r="Y9" s="26">
        <f t="shared" si="6"/>
        <v>0.73480468750000005</v>
      </c>
    </row>
    <row r="10" spans="1:25">
      <c r="A10" s="21">
        <v>46296</v>
      </c>
      <c r="B10" s="41" t="s">
        <v>76</v>
      </c>
      <c r="C10" s="31" t="s">
        <v>0</v>
      </c>
      <c r="D10" s="22" t="s">
        <v>35</v>
      </c>
      <c r="E10" s="32" t="str">
        <f>VLOOKUP(D10,Données!$C$2:$D$1300,2,FALSE)</f>
        <v>Insert KIKO</v>
      </c>
      <c r="F10" s="23">
        <v>480</v>
      </c>
      <c r="G10" s="23"/>
      <c r="H10" s="32">
        <f t="shared" ref="H10:H18" si="8">F10-G10</f>
        <v>480</v>
      </c>
      <c r="I10" s="23">
        <v>0</v>
      </c>
      <c r="J10" s="23">
        <v>25</v>
      </c>
      <c r="K10" s="23">
        <v>0</v>
      </c>
      <c r="L10" s="34">
        <f t="shared" si="1"/>
        <v>455</v>
      </c>
      <c r="M10" s="34">
        <f t="shared" si="2"/>
        <v>5784</v>
      </c>
      <c r="N10" s="23">
        <v>5761</v>
      </c>
      <c r="O10" s="23">
        <v>23</v>
      </c>
      <c r="P10" s="23">
        <v>0</v>
      </c>
      <c r="Q10" s="37">
        <f>VLOOKUP(D10,Données!$C$2:$E$1300,3,FALSE)</f>
        <v>3.75</v>
      </c>
      <c r="R10" s="38">
        <f>IF(H10&gt;0,L10/H10,"")</f>
        <v>0.94791666666666663</v>
      </c>
      <c r="S10" s="38">
        <f t="shared" si="3"/>
        <v>0.79450549450549446</v>
      </c>
      <c r="T10" s="38">
        <f t="shared" si="4"/>
        <v>0.99602351313969573</v>
      </c>
      <c r="U10" s="38">
        <f t="shared" si="5"/>
        <v>0.75013020833333333</v>
      </c>
      <c r="V10" s="25">
        <f>VLOOKUP(D10,Données!$C$2:$E$1300,3,FALSE)</f>
        <v>3.75</v>
      </c>
      <c r="W10">
        <v>8</v>
      </c>
      <c r="X10" s="39">
        <f>+V10*N10/3600</f>
        <v>6.0010416666666666</v>
      </c>
      <c r="Y10" s="26">
        <f t="shared" si="6"/>
        <v>0.75013020833333333</v>
      </c>
    </row>
    <row r="11" spans="1:25">
      <c r="A11" s="21">
        <v>46296</v>
      </c>
      <c r="B11" s="41" t="s">
        <v>76</v>
      </c>
      <c r="C11" s="31" t="s">
        <v>2</v>
      </c>
      <c r="D11" s="22" t="s">
        <v>36</v>
      </c>
      <c r="E11" s="32" t="str">
        <f>VLOOKUP(D11,Données!$C$2:$D$1300,2,FALSE)</f>
        <v>Base KIKO</v>
      </c>
      <c r="F11" s="23">
        <v>480</v>
      </c>
      <c r="G11" s="23"/>
      <c r="H11" s="32">
        <f t="shared" si="8"/>
        <v>480</v>
      </c>
      <c r="I11" s="23">
        <v>0</v>
      </c>
      <c r="J11" s="23">
        <v>25</v>
      </c>
      <c r="K11" s="23">
        <v>0</v>
      </c>
      <c r="L11" s="34">
        <f t="shared" si="1"/>
        <v>455</v>
      </c>
      <c r="M11" s="34">
        <f t="shared" si="2"/>
        <v>5509</v>
      </c>
      <c r="N11" s="23">
        <v>5498</v>
      </c>
      <c r="O11" s="23">
        <v>11</v>
      </c>
      <c r="P11" s="23">
        <v>0</v>
      </c>
      <c r="Q11" s="37">
        <f>VLOOKUP(D11,Données!$C$2:$E$1300,3,FALSE)</f>
        <v>4.75</v>
      </c>
      <c r="R11" s="38">
        <f>IF(H11&gt;0,L11/H11,"")</f>
        <v>0.94791666666666663</v>
      </c>
      <c r="S11" s="38">
        <f t="shared" si="3"/>
        <v>0.95852564102564097</v>
      </c>
      <c r="T11" s="38">
        <f t="shared" si="4"/>
        <v>0.99800326738064982</v>
      </c>
      <c r="U11" s="38">
        <f t="shared" si="5"/>
        <v>0.90678819444444436</v>
      </c>
      <c r="V11" s="25">
        <f>VLOOKUP(D11,Données!$C$2:$E$1300,3,FALSE)</f>
        <v>4.75</v>
      </c>
      <c r="W11">
        <v>8</v>
      </c>
      <c r="X11" s="39">
        <f>+V11*N11/3600</f>
        <v>7.2543055555555558</v>
      </c>
      <c r="Y11" s="26">
        <f t="shared" si="6"/>
        <v>0.90678819444444447</v>
      </c>
    </row>
    <row r="12" spans="1:25">
      <c r="A12" s="21">
        <v>46296</v>
      </c>
      <c r="B12" s="41" t="s">
        <v>76</v>
      </c>
      <c r="C12" s="31" t="s">
        <v>4</v>
      </c>
      <c r="D12" s="22" t="s">
        <v>37</v>
      </c>
      <c r="E12" s="32" t="str">
        <f>VLOOKUP(D12,Données!$C$2:$D$1300,2,FALSE)</f>
        <v>Cover KIKO</v>
      </c>
      <c r="F12" s="23">
        <v>480</v>
      </c>
      <c r="G12" s="23"/>
      <c r="H12" s="32">
        <f t="shared" si="8"/>
        <v>480</v>
      </c>
      <c r="I12" s="23">
        <v>0</v>
      </c>
      <c r="J12" s="23">
        <v>25</v>
      </c>
      <c r="K12" s="23">
        <v>0</v>
      </c>
      <c r="L12" s="34">
        <f t="shared" si="1"/>
        <v>455</v>
      </c>
      <c r="M12" s="34">
        <f t="shared" si="2"/>
        <v>6142</v>
      </c>
      <c r="N12" s="23">
        <v>6138</v>
      </c>
      <c r="O12" s="23">
        <v>4</v>
      </c>
      <c r="P12" s="23">
        <v>0</v>
      </c>
      <c r="Q12" s="37">
        <f>VLOOKUP(D12,Données!$C$2:$E$1300,3,FALSE)</f>
        <v>4.875</v>
      </c>
      <c r="R12" s="38">
        <f>IF(H12&gt;0,L12/H12,"")</f>
        <v>0.94791666666666663</v>
      </c>
      <c r="S12" s="38">
        <f t="shared" si="3"/>
        <v>1.0967857142857143</v>
      </c>
      <c r="T12" s="38">
        <f t="shared" si="4"/>
        <v>0.99934874633669812</v>
      </c>
      <c r="U12" s="38">
        <f t="shared" si="5"/>
        <v>1.0389843749999998</v>
      </c>
      <c r="V12" s="25">
        <f>VLOOKUP(D12,Données!$C$2:$E$1300,3,FALSE)</f>
        <v>4.875</v>
      </c>
      <c r="W12">
        <v>8</v>
      </c>
      <c r="X12" s="39">
        <f>+V12*N12/3600</f>
        <v>8.3118750000000006</v>
      </c>
      <c r="Y12" s="26">
        <f t="shared" si="6"/>
        <v>1.0389843750000001</v>
      </c>
    </row>
    <row r="13" spans="1:25">
      <c r="A13" s="21">
        <v>46297</v>
      </c>
      <c r="B13" s="41" t="s">
        <v>34</v>
      </c>
      <c r="C13" s="31" t="s">
        <v>0</v>
      </c>
      <c r="D13" s="22" t="s">
        <v>35</v>
      </c>
      <c r="E13" s="32" t="str">
        <f>VLOOKUP(D13,Données!$C$2:$D$1300,2,FALSE)</f>
        <v>Insert KIKO</v>
      </c>
      <c r="F13" s="23">
        <v>480</v>
      </c>
      <c r="G13" s="23">
        <v>480</v>
      </c>
      <c r="H13" s="32">
        <f t="shared" si="8"/>
        <v>0</v>
      </c>
      <c r="I13" s="23">
        <v>0</v>
      </c>
      <c r="J13" s="23"/>
      <c r="K13" s="23">
        <v>0</v>
      </c>
      <c r="L13" s="34">
        <f t="shared" si="1"/>
        <v>0</v>
      </c>
      <c r="M13" s="34">
        <f t="shared" si="2"/>
        <v>0</v>
      </c>
      <c r="N13" s="23">
        <v>0</v>
      </c>
      <c r="O13" s="23">
        <v>0</v>
      </c>
      <c r="P13" s="23">
        <v>0</v>
      </c>
      <c r="Q13" s="37">
        <f>VLOOKUP(D13,Données!$C$2:$E$1300,3,FALSE)</f>
        <v>3.75</v>
      </c>
      <c r="R13" s="38" t="str">
        <f>IF(H13&gt;0,L13/H13,"")</f>
        <v/>
      </c>
      <c r="S13" s="38" t="str">
        <f t="shared" si="3"/>
        <v/>
      </c>
      <c r="T13" s="38" t="str">
        <f t="shared" si="4"/>
        <v/>
      </c>
      <c r="U13" s="38" t="str">
        <f t="shared" si="5"/>
        <v/>
      </c>
      <c r="V13" s="25">
        <f>VLOOKUP(D13,Données!$C$2:$E$1300,3,FALSE)</f>
        <v>3.75</v>
      </c>
      <c r="W13">
        <v>0</v>
      </c>
      <c r="X13" s="39">
        <f>+V13*N13/3600</f>
        <v>0</v>
      </c>
      <c r="Y13" s="26" t="str">
        <f t="shared" si="6"/>
        <v/>
      </c>
    </row>
    <row r="14" spans="1:25">
      <c r="A14" s="21">
        <v>46297</v>
      </c>
      <c r="B14" s="41" t="s">
        <v>34</v>
      </c>
      <c r="C14" s="31" t="s">
        <v>2</v>
      </c>
      <c r="D14" s="22" t="s">
        <v>36</v>
      </c>
      <c r="E14" s="32" t="str">
        <f>VLOOKUP(D14,Données!$C$2:$D$1300,2,FALSE)</f>
        <v>Base KIKO</v>
      </c>
      <c r="F14" s="23">
        <v>480</v>
      </c>
      <c r="G14" s="23">
        <v>480</v>
      </c>
      <c r="H14" s="32">
        <f t="shared" si="8"/>
        <v>0</v>
      </c>
      <c r="I14" s="23">
        <v>0</v>
      </c>
      <c r="J14" s="23"/>
      <c r="K14" s="23">
        <v>0</v>
      </c>
      <c r="L14" s="34">
        <f t="shared" si="1"/>
        <v>0</v>
      </c>
      <c r="M14" s="34">
        <f t="shared" si="2"/>
        <v>0</v>
      </c>
      <c r="N14" s="23">
        <v>0</v>
      </c>
      <c r="O14" s="23">
        <v>0</v>
      </c>
      <c r="P14" s="23">
        <v>0</v>
      </c>
      <c r="Q14" s="37">
        <f>VLOOKUP(D14,Données!$C$2:$E$1300,3,FALSE)</f>
        <v>4.75</v>
      </c>
      <c r="R14" s="38" t="str">
        <f>IF(H14&gt;0,L14/H14,"")</f>
        <v/>
      </c>
      <c r="S14" s="38" t="str">
        <f t="shared" si="3"/>
        <v/>
      </c>
      <c r="T14" s="38" t="str">
        <f t="shared" si="4"/>
        <v/>
      </c>
      <c r="U14" s="38" t="str">
        <f t="shared" si="5"/>
        <v/>
      </c>
      <c r="V14" s="25">
        <f>VLOOKUP(D14,Données!$C$2:$E$1300,3,FALSE)</f>
        <v>4.75</v>
      </c>
      <c r="W14">
        <v>0</v>
      </c>
      <c r="X14" s="39">
        <f>+V14*N14/3600</f>
        <v>0</v>
      </c>
      <c r="Y14" s="26" t="str">
        <f t="shared" si="6"/>
        <v/>
      </c>
    </row>
    <row r="15" spans="1:25">
      <c r="A15" s="21">
        <v>46297</v>
      </c>
      <c r="B15" s="41" t="s">
        <v>34</v>
      </c>
      <c r="C15" s="31" t="s">
        <v>4</v>
      </c>
      <c r="D15" s="22" t="s">
        <v>37</v>
      </c>
      <c r="E15" s="32" t="str">
        <f>VLOOKUP(D15,Données!$C$2:$D$1300,2,FALSE)</f>
        <v>Cover KIKO</v>
      </c>
      <c r="F15" s="23">
        <v>480</v>
      </c>
      <c r="G15" s="23">
        <v>480</v>
      </c>
      <c r="H15" s="32">
        <f t="shared" si="8"/>
        <v>0</v>
      </c>
      <c r="I15" s="23">
        <v>0</v>
      </c>
      <c r="J15" s="23"/>
      <c r="K15" s="23">
        <v>0</v>
      </c>
      <c r="L15" s="34">
        <f t="shared" si="1"/>
        <v>0</v>
      </c>
      <c r="M15" s="34">
        <f t="shared" si="2"/>
        <v>0</v>
      </c>
      <c r="N15" s="23">
        <v>0</v>
      </c>
      <c r="O15" s="23">
        <v>0</v>
      </c>
      <c r="P15" s="23">
        <v>0</v>
      </c>
      <c r="Q15" s="37">
        <f>VLOOKUP(D15,Données!$C$2:$E$1300,3,FALSE)</f>
        <v>4.875</v>
      </c>
      <c r="R15" s="38" t="str">
        <f>IF(H15&gt;0,L15/H15,"")</f>
        <v/>
      </c>
      <c r="S15" s="38" t="str">
        <f t="shared" si="3"/>
        <v/>
      </c>
      <c r="T15" s="38" t="str">
        <f t="shared" si="4"/>
        <v/>
      </c>
      <c r="U15" s="38" t="str">
        <f t="shared" si="5"/>
        <v/>
      </c>
      <c r="V15" s="25">
        <f>VLOOKUP(D15,Données!$C$2:$E$1300,3,FALSE)</f>
        <v>4.875</v>
      </c>
      <c r="W15">
        <v>0</v>
      </c>
      <c r="X15" s="39">
        <f>+V15*N15/3600</f>
        <v>0</v>
      </c>
      <c r="Y15" s="26" t="str">
        <f t="shared" si="6"/>
        <v/>
      </c>
    </row>
    <row r="16" spans="1:25">
      <c r="A16" s="21">
        <v>46297</v>
      </c>
      <c r="B16" s="41" t="s">
        <v>38</v>
      </c>
      <c r="C16" s="31" t="s">
        <v>0</v>
      </c>
      <c r="D16" s="22" t="s">
        <v>35</v>
      </c>
      <c r="E16" s="32" t="str">
        <f>VLOOKUP(D16,Données!$C$2:$D$1300,2,FALSE)</f>
        <v>Insert KIKO</v>
      </c>
      <c r="F16" s="23">
        <v>480</v>
      </c>
      <c r="G16" s="23"/>
      <c r="H16" s="32">
        <f t="shared" si="8"/>
        <v>480</v>
      </c>
      <c r="I16" s="23">
        <v>0</v>
      </c>
      <c r="J16" s="23">
        <v>45</v>
      </c>
      <c r="K16" s="23">
        <v>0</v>
      </c>
      <c r="L16" s="34">
        <f t="shared" si="1"/>
        <v>435</v>
      </c>
      <c r="M16" s="34">
        <f t="shared" si="2"/>
        <v>4139</v>
      </c>
      <c r="N16" s="23">
        <v>4093</v>
      </c>
      <c r="O16" s="23">
        <v>46</v>
      </c>
      <c r="P16" s="23">
        <v>0</v>
      </c>
      <c r="Q16" s="37">
        <f>VLOOKUP(D16,Données!$C$2:$E$1300,3,FALSE)</f>
        <v>3.75</v>
      </c>
      <c r="R16" s="38">
        <f>IF(H16&gt;0,L16/H16,"")</f>
        <v>0.90625</v>
      </c>
      <c r="S16" s="38">
        <f t="shared" si="3"/>
        <v>0.59468390804597704</v>
      </c>
      <c r="T16" s="38">
        <f t="shared" si="4"/>
        <v>0.98888620439719743</v>
      </c>
      <c r="U16" s="38">
        <f t="shared" si="5"/>
        <v>0.53294270833333335</v>
      </c>
      <c r="V16" s="25">
        <f>VLOOKUP(D16,Données!$C$2:$E$1300,3,FALSE)</f>
        <v>3.75</v>
      </c>
      <c r="W16">
        <v>8</v>
      </c>
      <c r="X16" s="39">
        <f>+V16*N16/3600</f>
        <v>4.2635416666666668</v>
      </c>
      <c r="Y16" s="26">
        <f t="shared" si="6"/>
        <v>0.53294270833333335</v>
      </c>
    </row>
    <row r="17" spans="1:25">
      <c r="A17" s="21">
        <v>46297</v>
      </c>
      <c r="B17" s="41" t="s">
        <v>38</v>
      </c>
      <c r="C17" s="31" t="s">
        <v>2</v>
      </c>
      <c r="D17" s="22" t="s">
        <v>36</v>
      </c>
      <c r="E17" s="32" t="str">
        <f>VLOOKUP(D17,Données!$C$2:$D$1300,2,FALSE)</f>
        <v>Base KIKO</v>
      </c>
      <c r="F17" s="23">
        <v>480</v>
      </c>
      <c r="G17" s="23"/>
      <c r="H17" s="32">
        <f t="shared" si="8"/>
        <v>480</v>
      </c>
      <c r="I17" s="23">
        <v>0</v>
      </c>
      <c r="J17" s="23">
        <v>45</v>
      </c>
      <c r="K17" s="23">
        <v>0</v>
      </c>
      <c r="L17" s="34">
        <f t="shared" si="1"/>
        <v>435</v>
      </c>
      <c r="M17" s="34">
        <f t="shared" si="2"/>
        <v>4807</v>
      </c>
      <c r="N17" s="23">
        <v>4740</v>
      </c>
      <c r="O17" s="23">
        <v>67</v>
      </c>
      <c r="P17" s="23">
        <v>0</v>
      </c>
      <c r="Q17" s="37">
        <f>VLOOKUP(D17,Données!$C$2:$E$1300,3,FALSE)</f>
        <v>4.75</v>
      </c>
      <c r="R17" s="38">
        <f>IF(H17&gt;0,L17/H17,"")</f>
        <v>0.90625</v>
      </c>
      <c r="S17" s="38">
        <f t="shared" si="3"/>
        <v>0.87483716475095785</v>
      </c>
      <c r="T17" s="38">
        <f t="shared" si="4"/>
        <v>0.98606199292698149</v>
      </c>
      <c r="U17" s="38">
        <f t="shared" si="5"/>
        <v>0.7817708333333333</v>
      </c>
      <c r="V17" s="25">
        <f>VLOOKUP(D17,Données!$C$2:$E$1300,3,FALSE)</f>
        <v>4.75</v>
      </c>
      <c r="W17">
        <v>8</v>
      </c>
      <c r="X17" s="39">
        <f>+V17*N17/3600</f>
        <v>6.2541666666666664</v>
      </c>
      <c r="Y17" s="26">
        <f t="shared" si="6"/>
        <v>0.7817708333333333</v>
      </c>
    </row>
    <row r="18" spans="1:25">
      <c r="A18" s="21">
        <v>46297</v>
      </c>
      <c r="B18" s="41" t="s">
        <v>38</v>
      </c>
      <c r="C18" s="31" t="s">
        <v>4</v>
      </c>
      <c r="D18" s="22" t="s">
        <v>37</v>
      </c>
      <c r="E18" s="32" t="str">
        <f>VLOOKUP(D18,Données!$C$2:$D$1300,2,FALSE)</f>
        <v>Cover KIKO</v>
      </c>
      <c r="F18" s="23">
        <v>480</v>
      </c>
      <c r="G18" s="23"/>
      <c r="H18" s="32">
        <f t="shared" si="8"/>
        <v>480</v>
      </c>
      <c r="I18" s="23">
        <v>0</v>
      </c>
      <c r="J18" s="23">
        <v>45</v>
      </c>
      <c r="K18" s="23">
        <v>0</v>
      </c>
      <c r="L18" s="34">
        <f t="shared" si="1"/>
        <v>435</v>
      </c>
      <c r="M18" s="34">
        <f t="shared" si="2"/>
        <v>4616</v>
      </c>
      <c r="N18" s="23">
        <v>4596</v>
      </c>
      <c r="O18" s="23">
        <v>20</v>
      </c>
      <c r="P18" s="23">
        <v>0</v>
      </c>
      <c r="Q18" s="37">
        <f>VLOOKUP(D18,Données!$C$2:$E$1300,3,FALSE)</f>
        <v>4.875</v>
      </c>
      <c r="R18" s="38">
        <f>IF(H18&gt;0,L18/H18,"")</f>
        <v>0.90625</v>
      </c>
      <c r="S18" s="38">
        <f t="shared" si="3"/>
        <v>0.862183908045977</v>
      </c>
      <c r="T18" s="38">
        <f t="shared" si="4"/>
        <v>0.99566724436741771</v>
      </c>
      <c r="U18" s="38">
        <f t="shared" si="5"/>
        <v>0.7779687500000001</v>
      </c>
      <c r="V18" s="25">
        <f>VLOOKUP(D18,Données!$C$2:$E$1300,3,FALSE)</f>
        <v>4.875</v>
      </c>
      <c r="W18">
        <v>8</v>
      </c>
      <c r="X18" s="39">
        <f>+V18*N18/3600</f>
        <v>6.2237499999999999</v>
      </c>
      <c r="Y18" s="26">
        <f t="shared" si="6"/>
        <v>0.77796874999999999</v>
      </c>
    </row>
    <row r="19" spans="1:25">
      <c r="A19" s="21">
        <v>46297</v>
      </c>
      <c r="B19" s="41" t="s">
        <v>76</v>
      </c>
      <c r="C19" s="31" t="s">
        <v>0</v>
      </c>
      <c r="D19" s="22" t="s">
        <v>35</v>
      </c>
      <c r="E19" s="32" t="str">
        <f>VLOOKUP(D19,Données!$C$2:$D$1300,2,FALSE)</f>
        <v>Insert KIKO</v>
      </c>
      <c r="F19" s="23">
        <v>480</v>
      </c>
      <c r="G19" s="23"/>
      <c r="H19" s="32">
        <f t="shared" ref="H19:H27" si="9">F19-G19</f>
        <v>480</v>
      </c>
      <c r="I19" s="23">
        <v>0</v>
      </c>
      <c r="J19" s="23">
        <v>25</v>
      </c>
      <c r="K19" s="23">
        <v>0</v>
      </c>
      <c r="L19" s="34">
        <f t="shared" si="1"/>
        <v>455</v>
      </c>
      <c r="M19" s="34">
        <f t="shared" si="2"/>
        <v>6526</v>
      </c>
      <c r="N19" s="23">
        <v>6474</v>
      </c>
      <c r="O19" s="23">
        <v>52</v>
      </c>
      <c r="P19" s="23">
        <v>0</v>
      </c>
      <c r="Q19" s="37">
        <f>VLOOKUP(D19,Données!$C$2:$E$1300,3,FALSE)</f>
        <v>3.75</v>
      </c>
      <c r="R19" s="38">
        <f>IF(H19&gt;0,L19/H19,"")</f>
        <v>0.94791666666666663</v>
      </c>
      <c r="S19" s="38">
        <f t="shared" si="3"/>
        <v>0.89642857142857146</v>
      </c>
      <c r="T19" s="38">
        <f t="shared" si="4"/>
        <v>0.99203187250996017</v>
      </c>
      <c r="U19" s="38">
        <f t="shared" si="5"/>
        <v>0.84296875000000004</v>
      </c>
      <c r="V19" s="25">
        <f>VLOOKUP(D19,Données!$C$2:$E$1300,3,FALSE)</f>
        <v>3.75</v>
      </c>
      <c r="W19">
        <v>8</v>
      </c>
      <c r="X19" s="39">
        <f>+V19*N19/3600</f>
        <v>6.7437500000000004</v>
      </c>
      <c r="Y19" s="26">
        <f t="shared" si="6"/>
        <v>0.84296875000000004</v>
      </c>
    </row>
    <row r="20" spans="1:25">
      <c r="A20" s="21">
        <v>46297</v>
      </c>
      <c r="B20" s="41" t="s">
        <v>76</v>
      </c>
      <c r="C20" s="31" t="s">
        <v>2</v>
      </c>
      <c r="D20" s="22" t="s">
        <v>36</v>
      </c>
      <c r="E20" s="32" t="str">
        <f>VLOOKUP(D20,Données!$C$2:$D$1300,2,FALSE)</f>
        <v>Base KIKO</v>
      </c>
      <c r="F20" s="23">
        <v>480</v>
      </c>
      <c r="G20" s="23"/>
      <c r="H20" s="32">
        <f t="shared" si="9"/>
        <v>480</v>
      </c>
      <c r="I20" s="23">
        <v>0</v>
      </c>
      <c r="J20" s="23">
        <v>25</v>
      </c>
      <c r="K20" s="23">
        <v>0</v>
      </c>
      <c r="L20" s="34">
        <f t="shared" si="1"/>
        <v>455</v>
      </c>
      <c r="M20" s="34">
        <f t="shared" si="2"/>
        <v>6442</v>
      </c>
      <c r="N20" s="23">
        <v>6402</v>
      </c>
      <c r="O20" s="23">
        <v>40</v>
      </c>
      <c r="P20" s="23">
        <v>0</v>
      </c>
      <c r="Q20" s="37">
        <f>VLOOKUP(D20,Données!$C$2:$E$1300,3,FALSE)</f>
        <v>4.75</v>
      </c>
      <c r="R20" s="38">
        <f>IF(H20&gt;0,L20/H20,"")</f>
        <v>0.94791666666666663</v>
      </c>
      <c r="S20" s="38">
        <f t="shared" si="3"/>
        <v>1.1208608058608058</v>
      </c>
      <c r="T20" s="38">
        <f t="shared" si="4"/>
        <v>0.99379074821484015</v>
      </c>
      <c r="U20" s="38">
        <f t="shared" si="5"/>
        <v>1.0558854166666667</v>
      </c>
      <c r="V20" s="25">
        <f>VLOOKUP(D20,Données!$C$2:$E$1300,3,FALSE)</f>
        <v>4.75</v>
      </c>
      <c r="W20">
        <v>8</v>
      </c>
      <c r="X20" s="39">
        <f>+V20*N20/3600</f>
        <v>8.4470833333333335</v>
      </c>
      <c r="Y20" s="26">
        <f t="shared" si="6"/>
        <v>1.0558854166666667</v>
      </c>
    </row>
    <row r="21" spans="1:25">
      <c r="A21" s="21">
        <v>46297</v>
      </c>
      <c r="B21" s="41" t="s">
        <v>76</v>
      </c>
      <c r="C21" s="31" t="s">
        <v>4</v>
      </c>
      <c r="D21" s="22" t="s">
        <v>37</v>
      </c>
      <c r="E21" s="32" t="str">
        <f>VLOOKUP(D21,Données!$C$2:$D$1300,2,FALSE)</f>
        <v>Cover KIKO</v>
      </c>
      <c r="F21" s="23">
        <v>480</v>
      </c>
      <c r="G21" s="23"/>
      <c r="H21" s="32">
        <f t="shared" si="9"/>
        <v>480</v>
      </c>
      <c r="I21" s="23">
        <v>0</v>
      </c>
      <c r="J21" s="23">
        <v>25</v>
      </c>
      <c r="K21" s="23">
        <v>0</v>
      </c>
      <c r="L21" s="34">
        <f t="shared" si="1"/>
        <v>455</v>
      </c>
      <c r="M21" s="34">
        <f t="shared" si="2"/>
        <v>4400</v>
      </c>
      <c r="N21" s="23">
        <v>4394</v>
      </c>
      <c r="O21" s="23">
        <v>6</v>
      </c>
      <c r="P21" s="23">
        <v>0</v>
      </c>
      <c r="Q21" s="37">
        <f>VLOOKUP(D21,Données!$C$2:$E$1300,3,FALSE)</f>
        <v>4.875</v>
      </c>
      <c r="R21" s="38">
        <f>IF(H21&gt;0,L21/H21,"")</f>
        <v>0.94791666666666663</v>
      </c>
      <c r="S21" s="38">
        <f t="shared" si="3"/>
        <v>0.7857142857142857</v>
      </c>
      <c r="T21" s="38">
        <f t="shared" si="4"/>
        <v>0.99863636363636366</v>
      </c>
      <c r="U21" s="38">
        <f t="shared" si="5"/>
        <v>0.74377604166666667</v>
      </c>
      <c r="V21" s="25">
        <f>VLOOKUP(D21,Données!$C$2:$E$1300,3,FALSE)</f>
        <v>4.875</v>
      </c>
      <c r="W21">
        <v>8</v>
      </c>
      <c r="X21" s="39">
        <f>+V21*N21/3600</f>
        <v>5.9502083333333333</v>
      </c>
      <c r="Y21" s="26">
        <f t="shared" si="6"/>
        <v>0.74377604166666667</v>
      </c>
    </row>
    <row r="22" spans="1:25">
      <c r="A22" s="21">
        <v>46298</v>
      </c>
      <c r="B22" s="41" t="s">
        <v>34</v>
      </c>
      <c r="C22" s="31" t="s">
        <v>0</v>
      </c>
      <c r="D22" s="22" t="s">
        <v>35</v>
      </c>
      <c r="E22" s="32" t="str">
        <f>VLOOKUP(D22,Données!$C$2:$D$1300,2,FALSE)</f>
        <v>Insert KIKO</v>
      </c>
      <c r="F22" s="23">
        <v>480</v>
      </c>
      <c r="G22" s="23">
        <v>480</v>
      </c>
      <c r="H22" s="32">
        <f t="shared" si="9"/>
        <v>0</v>
      </c>
      <c r="I22" s="23">
        <v>0</v>
      </c>
      <c r="J22" s="23"/>
      <c r="K22" s="23">
        <v>0</v>
      </c>
      <c r="L22" s="34">
        <f t="shared" si="1"/>
        <v>0</v>
      </c>
      <c r="M22" s="34">
        <f t="shared" si="2"/>
        <v>0</v>
      </c>
      <c r="N22" s="23">
        <v>0</v>
      </c>
      <c r="O22" s="23">
        <v>0</v>
      </c>
      <c r="P22" s="23">
        <v>0</v>
      </c>
      <c r="Q22" s="37">
        <f>VLOOKUP(D22,Données!$C$2:$E$1300,3,FALSE)</f>
        <v>3.75</v>
      </c>
      <c r="R22" s="38" t="str">
        <f>IF(H22&gt;0,L22/H22,"")</f>
        <v/>
      </c>
      <c r="S22" s="38" t="str">
        <f t="shared" si="3"/>
        <v/>
      </c>
      <c r="T22" s="38" t="str">
        <f t="shared" si="4"/>
        <v/>
      </c>
      <c r="U22" s="38" t="str">
        <f t="shared" si="5"/>
        <v/>
      </c>
      <c r="V22" s="25">
        <f>VLOOKUP(D22,Données!$C$2:$E$1300,3,FALSE)</f>
        <v>3.75</v>
      </c>
      <c r="W22">
        <v>0</v>
      </c>
      <c r="X22" s="39">
        <f>+V22*N22/3600</f>
        <v>0</v>
      </c>
      <c r="Y22" s="26" t="str">
        <f t="shared" si="6"/>
        <v/>
      </c>
    </row>
    <row r="23" spans="1:25">
      <c r="A23" s="21">
        <v>46298</v>
      </c>
      <c r="B23" s="41" t="s">
        <v>34</v>
      </c>
      <c r="C23" s="31" t="s">
        <v>2</v>
      </c>
      <c r="D23" s="22" t="s">
        <v>36</v>
      </c>
      <c r="E23" s="32" t="str">
        <f>VLOOKUP(D23,Données!$C$2:$D$1300,2,FALSE)</f>
        <v>Base KIKO</v>
      </c>
      <c r="F23" s="23">
        <v>480</v>
      </c>
      <c r="G23" s="23">
        <v>480</v>
      </c>
      <c r="H23" s="32">
        <f t="shared" si="9"/>
        <v>0</v>
      </c>
      <c r="I23" s="23">
        <v>0</v>
      </c>
      <c r="J23" s="23"/>
      <c r="K23" s="23">
        <v>0</v>
      </c>
      <c r="L23" s="34">
        <f t="shared" si="1"/>
        <v>0</v>
      </c>
      <c r="M23" s="34">
        <f t="shared" si="2"/>
        <v>0</v>
      </c>
      <c r="N23" s="23">
        <v>0</v>
      </c>
      <c r="O23" s="23">
        <v>0</v>
      </c>
      <c r="P23" s="23">
        <v>0</v>
      </c>
      <c r="Q23" s="37">
        <f>VLOOKUP(D23,Données!$C$2:$E$1300,3,FALSE)</f>
        <v>4.75</v>
      </c>
      <c r="R23" s="38" t="str">
        <f>IF(H23&gt;0,L23/H23,"")</f>
        <v/>
      </c>
      <c r="S23" s="38" t="str">
        <f t="shared" si="3"/>
        <v/>
      </c>
      <c r="T23" s="38" t="str">
        <f t="shared" si="4"/>
        <v/>
      </c>
      <c r="U23" s="38" t="str">
        <f t="shared" si="5"/>
        <v/>
      </c>
      <c r="V23" s="25">
        <f>VLOOKUP(D23,Données!$C$2:$E$1300,3,FALSE)</f>
        <v>4.75</v>
      </c>
      <c r="W23">
        <v>0</v>
      </c>
      <c r="X23" s="39">
        <f>+V23*N23/3600</f>
        <v>0</v>
      </c>
      <c r="Y23" s="26" t="str">
        <f t="shared" si="6"/>
        <v/>
      </c>
    </row>
    <row r="24" spans="1:25">
      <c r="A24" s="21">
        <v>46298</v>
      </c>
      <c r="B24" s="41" t="s">
        <v>34</v>
      </c>
      <c r="C24" s="31" t="s">
        <v>4</v>
      </c>
      <c r="D24" s="22" t="s">
        <v>37</v>
      </c>
      <c r="E24" s="32" t="str">
        <f>VLOOKUP(D24,Données!$C$2:$D$1300,2,FALSE)</f>
        <v>Cover KIKO</v>
      </c>
      <c r="F24" s="23">
        <v>480</v>
      </c>
      <c r="G24" s="23">
        <v>480</v>
      </c>
      <c r="H24" s="32">
        <f t="shared" si="9"/>
        <v>0</v>
      </c>
      <c r="I24" s="23">
        <v>0</v>
      </c>
      <c r="J24" s="23"/>
      <c r="K24" s="23">
        <v>0</v>
      </c>
      <c r="L24" s="34">
        <f t="shared" si="1"/>
        <v>0</v>
      </c>
      <c r="M24" s="34">
        <f t="shared" si="2"/>
        <v>0</v>
      </c>
      <c r="N24" s="23">
        <v>0</v>
      </c>
      <c r="O24" s="23">
        <v>0</v>
      </c>
      <c r="P24" s="23">
        <v>0</v>
      </c>
      <c r="Q24" s="37">
        <f>VLOOKUP(D24,Données!$C$2:$E$1300,3,FALSE)</f>
        <v>4.875</v>
      </c>
      <c r="R24" s="38" t="str">
        <f>IF(H24&gt;0,L24/H24,"")</f>
        <v/>
      </c>
      <c r="S24" s="38" t="str">
        <f t="shared" si="3"/>
        <v/>
      </c>
      <c r="T24" s="38" t="str">
        <f t="shared" si="4"/>
        <v/>
      </c>
      <c r="U24" s="38" t="str">
        <f t="shared" si="5"/>
        <v/>
      </c>
      <c r="V24" s="25">
        <f>VLOOKUP(D24,Données!$C$2:$E$1300,3,FALSE)</f>
        <v>4.875</v>
      </c>
      <c r="W24">
        <v>0</v>
      </c>
      <c r="X24" s="39">
        <f>+V24*N24/3600</f>
        <v>0</v>
      </c>
      <c r="Y24" s="26" t="str">
        <f t="shared" si="6"/>
        <v/>
      </c>
    </row>
    <row r="25" spans="1:25">
      <c r="A25" s="21">
        <v>46298</v>
      </c>
      <c r="B25" s="41" t="s">
        <v>38</v>
      </c>
      <c r="C25" s="31" t="s">
        <v>0</v>
      </c>
      <c r="D25" s="22" t="s">
        <v>35</v>
      </c>
      <c r="E25" s="32" t="str">
        <f>VLOOKUP(D25,Données!$C$2:$D$1300,2,FALSE)</f>
        <v>Insert KIKO</v>
      </c>
      <c r="F25" s="23">
        <v>480</v>
      </c>
      <c r="G25" s="23"/>
      <c r="H25" s="32">
        <f t="shared" si="9"/>
        <v>480</v>
      </c>
      <c r="I25" s="23">
        <v>0</v>
      </c>
      <c r="J25" s="23">
        <v>45</v>
      </c>
      <c r="K25" s="23">
        <v>0</v>
      </c>
      <c r="L25" s="34">
        <f t="shared" si="1"/>
        <v>435</v>
      </c>
      <c r="M25" s="34">
        <f t="shared" si="2"/>
        <v>5782</v>
      </c>
      <c r="N25" s="23">
        <v>5776</v>
      </c>
      <c r="O25" s="23">
        <v>6</v>
      </c>
      <c r="P25" s="23">
        <v>0</v>
      </c>
      <c r="Q25" s="37">
        <f>VLOOKUP(D25,Données!$C$2:$E$1300,3,FALSE)</f>
        <v>3.75</v>
      </c>
      <c r="R25" s="38">
        <f>IF(H25&gt;0,L25/H25,"")</f>
        <v>0.90625</v>
      </c>
      <c r="S25" s="38">
        <f t="shared" si="3"/>
        <v>0.83074712643678161</v>
      </c>
      <c r="T25" s="38">
        <f t="shared" si="4"/>
        <v>0.99896229678311999</v>
      </c>
      <c r="U25" s="38">
        <f t="shared" si="5"/>
        <v>0.75208333333333333</v>
      </c>
      <c r="V25" s="25">
        <f>VLOOKUP(D25,Données!$C$2:$E$1300,3,FALSE)</f>
        <v>3.75</v>
      </c>
      <c r="W25">
        <v>8</v>
      </c>
      <c r="X25" s="39">
        <f t="shared" ref="X25:X66" si="10">+V25*N25/3600</f>
        <v>6.0166666666666666</v>
      </c>
      <c r="Y25" s="26">
        <f t="shared" si="6"/>
        <v>0.75208333333333333</v>
      </c>
    </row>
    <row r="26" spans="1:25">
      <c r="A26" s="21">
        <v>46298</v>
      </c>
      <c r="B26" s="41" t="s">
        <v>38</v>
      </c>
      <c r="C26" s="31" t="s">
        <v>2</v>
      </c>
      <c r="D26" s="22" t="s">
        <v>36</v>
      </c>
      <c r="E26" s="32" t="str">
        <f>VLOOKUP(D26,Données!$C$2:$D$1300,2,FALSE)</f>
        <v>Base KIKO</v>
      </c>
      <c r="F26" s="23">
        <v>480</v>
      </c>
      <c r="G26" s="23"/>
      <c r="H26" s="32">
        <f t="shared" si="9"/>
        <v>480</v>
      </c>
      <c r="I26" s="23">
        <v>0</v>
      </c>
      <c r="J26" s="23">
        <v>45</v>
      </c>
      <c r="K26" s="23">
        <v>0</v>
      </c>
      <c r="L26" s="34">
        <f t="shared" si="1"/>
        <v>435</v>
      </c>
      <c r="M26" s="34">
        <f t="shared" si="2"/>
        <v>4623</v>
      </c>
      <c r="N26" s="23">
        <v>4594</v>
      </c>
      <c r="O26" s="23">
        <v>29</v>
      </c>
      <c r="P26" s="23">
        <v>0</v>
      </c>
      <c r="Q26" s="37">
        <f>VLOOKUP(D26,Données!$C$2:$E$1300,3,FALSE)</f>
        <v>4.75</v>
      </c>
      <c r="R26" s="38">
        <f>IF(H26&gt;0,L26/H26,"")</f>
        <v>0.90625</v>
      </c>
      <c r="S26" s="38">
        <f t="shared" si="3"/>
        <v>0.84135057471264363</v>
      </c>
      <c r="T26" s="38">
        <f t="shared" si="4"/>
        <v>0.99372701708847067</v>
      </c>
      <c r="U26" s="38">
        <f t="shared" si="5"/>
        <v>0.75769097222222215</v>
      </c>
      <c r="V26" s="25">
        <f>VLOOKUP(D26,Données!$C$2:$E$1300,3,FALSE)</f>
        <v>4.75</v>
      </c>
      <c r="W26">
        <v>8</v>
      </c>
      <c r="X26" s="39">
        <f t="shared" si="10"/>
        <v>6.0615277777777781</v>
      </c>
      <c r="Y26" s="26">
        <f t="shared" si="6"/>
        <v>0.75769097222222226</v>
      </c>
    </row>
    <row r="27" spans="1:25">
      <c r="A27" s="21">
        <v>46298</v>
      </c>
      <c r="B27" s="41" t="s">
        <v>38</v>
      </c>
      <c r="C27" s="31" t="s">
        <v>4</v>
      </c>
      <c r="D27" s="22" t="s">
        <v>37</v>
      </c>
      <c r="E27" s="32" t="str">
        <f>VLOOKUP(D27,Données!$C$2:$D$1300,2,FALSE)</f>
        <v>Cover KIKO</v>
      </c>
      <c r="F27" s="23">
        <v>480</v>
      </c>
      <c r="G27" s="23"/>
      <c r="H27" s="32">
        <f t="shared" si="9"/>
        <v>480</v>
      </c>
      <c r="I27" s="23">
        <v>0</v>
      </c>
      <c r="J27" s="23">
        <v>45</v>
      </c>
      <c r="K27" s="23">
        <v>0</v>
      </c>
      <c r="L27" s="34">
        <f t="shared" si="1"/>
        <v>435</v>
      </c>
      <c r="M27" s="34">
        <f t="shared" si="2"/>
        <v>6038</v>
      </c>
      <c r="N27" s="23">
        <v>6012</v>
      </c>
      <c r="O27" s="23">
        <v>26</v>
      </c>
      <c r="P27" s="23">
        <v>0</v>
      </c>
      <c r="Q27" s="37">
        <f>VLOOKUP(D27,Données!$C$2:$E$1300,3,FALSE)</f>
        <v>4.875</v>
      </c>
      <c r="R27" s="38">
        <f>IF(H27&gt;0,L27/H27,"")</f>
        <v>0.90625</v>
      </c>
      <c r="S27" s="38">
        <f t="shared" si="3"/>
        <v>1.127787356321839</v>
      </c>
      <c r="T27" s="38">
        <f t="shared" si="4"/>
        <v>0.99569393839019538</v>
      </c>
      <c r="U27" s="38">
        <f t="shared" si="5"/>
        <v>1.0176562499999999</v>
      </c>
      <c r="V27" s="25">
        <f>VLOOKUP(D27,Données!$C$2:$E$1300,3,FALSE)</f>
        <v>4.875</v>
      </c>
      <c r="W27">
        <v>8</v>
      </c>
      <c r="X27" s="39">
        <f t="shared" si="10"/>
        <v>8.1412499999999994</v>
      </c>
      <c r="Y27" s="26">
        <f t="shared" si="6"/>
        <v>1.0176562499999999</v>
      </c>
    </row>
    <row r="28" spans="1:25">
      <c r="A28" s="21">
        <v>46298</v>
      </c>
      <c r="B28" s="41" t="s">
        <v>76</v>
      </c>
      <c r="C28" s="31" t="s">
        <v>0</v>
      </c>
      <c r="D28" s="22" t="s">
        <v>35</v>
      </c>
      <c r="E28" s="32" t="str">
        <f>VLOOKUP(D28,Données!$C$2:$D$1300,2,FALSE)</f>
        <v>Insert KIKO</v>
      </c>
      <c r="F28" s="23">
        <v>480</v>
      </c>
      <c r="G28" s="23"/>
      <c r="H28" s="32">
        <f t="shared" ref="H28:H66" si="11">F28-G28</f>
        <v>480</v>
      </c>
      <c r="I28" s="23">
        <v>0</v>
      </c>
      <c r="J28" s="23">
        <v>25</v>
      </c>
      <c r="K28" s="23">
        <v>0</v>
      </c>
      <c r="L28" s="34">
        <f t="shared" si="1"/>
        <v>455</v>
      </c>
      <c r="M28" s="34">
        <f t="shared" si="2"/>
        <v>7271</v>
      </c>
      <c r="N28" s="23">
        <v>7244</v>
      </c>
      <c r="O28" s="23">
        <v>27</v>
      </c>
      <c r="P28" s="23">
        <v>0</v>
      </c>
      <c r="Q28" s="37">
        <f>VLOOKUP(D28,Données!$C$2:$E$1300,3,FALSE)</f>
        <v>3.75</v>
      </c>
      <c r="R28" s="38">
        <f>IF(H28&gt;0,L28/H28,"")</f>
        <v>0.94791666666666663</v>
      </c>
      <c r="S28" s="38">
        <f t="shared" si="3"/>
        <v>0.99876373626373627</v>
      </c>
      <c r="T28" s="38">
        <f t="shared" si="4"/>
        <v>0.99628661807179208</v>
      </c>
      <c r="U28" s="38">
        <f t="shared" si="5"/>
        <v>0.94322916666666656</v>
      </c>
      <c r="V28" s="25">
        <f>VLOOKUP(D28,Données!$C$2:$E$1300,3,FALSE)</f>
        <v>3.75</v>
      </c>
      <c r="W28">
        <v>8</v>
      </c>
      <c r="X28" s="39">
        <f t="shared" si="10"/>
        <v>7.5458333333333334</v>
      </c>
      <c r="Y28" s="26">
        <f t="shared" si="6"/>
        <v>0.94322916666666667</v>
      </c>
    </row>
    <row r="29" spans="1:25">
      <c r="A29" s="21">
        <v>46298</v>
      </c>
      <c r="B29" s="41" t="s">
        <v>76</v>
      </c>
      <c r="C29" s="31" t="s">
        <v>2</v>
      </c>
      <c r="D29" s="22" t="s">
        <v>36</v>
      </c>
      <c r="E29" s="32" t="str">
        <f>VLOOKUP(D29,Données!$C$2:$D$1300,2,FALSE)</f>
        <v>Base KIKO</v>
      </c>
      <c r="F29" s="23">
        <v>480</v>
      </c>
      <c r="G29" s="23"/>
      <c r="H29" s="32">
        <f t="shared" si="11"/>
        <v>480</v>
      </c>
      <c r="I29" s="23">
        <v>0</v>
      </c>
      <c r="J29" s="23">
        <v>25</v>
      </c>
      <c r="K29" s="23">
        <v>0</v>
      </c>
      <c r="L29" s="34">
        <f t="shared" si="1"/>
        <v>455</v>
      </c>
      <c r="M29" s="34">
        <f t="shared" si="2"/>
        <v>6366</v>
      </c>
      <c r="N29" s="23">
        <v>6346</v>
      </c>
      <c r="O29" s="23">
        <v>20</v>
      </c>
      <c r="P29" s="23">
        <v>0</v>
      </c>
      <c r="Q29" s="37">
        <f>VLOOKUP(D29,Données!$C$2:$E$1300,3,FALSE)</f>
        <v>4.75</v>
      </c>
      <c r="R29" s="38">
        <f>IF(H29&gt;0,L29/H29,"")</f>
        <v>0.94791666666666663</v>
      </c>
      <c r="S29" s="38">
        <f t="shared" si="3"/>
        <v>1.1076373626373626</v>
      </c>
      <c r="T29" s="38">
        <f t="shared" si="4"/>
        <v>0.99685830977065659</v>
      </c>
      <c r="U29" s="38">
        <f t="shared" si="5"/>
        <v>1.0466493055555555</v>
      </c>
      <c r="V29" s="25">
        <f>VLOOKUP(D29,Données!$C$2:$E$1300,3,FALSE)</f>
        <v>4.75</v>
      </c>
      <c r="W29">
        <v>8</v>
      </c>
      <c r="X29" s="39">
        <f t="shared" si="10"/>
        <v>8.3731944444444437</v>
      </c>
      <c r="Y29" s="26">
        <f t="shared" si="6"/>
        <v>1.0466493055555555</v>
      </c>
    </row>
    <row r="30" spans="1:25">
      <c r="A30" s="21">
        <v>46298</v>
      </c>
      <c r="B30" s="41" t="s">
        <v>76</v>
      </c>
      <c r="C30" s="31" t="s">
        <v>4</v>
      </c>
      <c r="D30" s="22" t="s">
        <v>37</v>
      </c>
      <c r="E30" s="32" t="str">
        <f>VLOOKUP(D30,Données!$C$2:$D$1300,2,FALSE)</f>
        <v>Cover KIKO</v>
      </c>
      <c r="F30" s="23">
        <v>480</v>
      </c>
      <c r="G30" s="23"/>
      <c r="H30" s="32">
        <f t="shared" si="11"/>
        <v>480</v>
      </c>
      <c r="I30" s="23">
        <v>0</v>
      </c>
      <c r="J30" s="23">
        <v>25</v>
      </c>
      <c r="K30" s="23">
        <v>0</v>
      </c>
      <c r="L30" s="34">
        <f t="shared" si="1"/>
        <v>455</v>
      </c>
      <c r="M30" s="34">
        <f t="shared" si="2"/>
        <v>6092</v>
      </c>
      <c r="N30" s="23">
        <v>6079</v>
      </c>
      <c r="O30" s="23">
        <v>13</v>
      </c>
      <c r="P30" s="23">
        <v>0</v>
      </c>
      <c r="Q30" s="37">
        <f>VLOOKUP(D30,Données!$C$2:$E$1300,3,FALSE)</f>
        <v>4.875</v>
      </c>
      <c r="R30" s="38">
        <f>IF(H30&gt;0,L30/H30,"")</f>
        <v>0.94791666666666663</v>
      </c>
      <c r="S30" s="38">
        <f t="shared" si="3"/>
        <v>1.0878571428571429</v>
      </c>
      <c r="T30" s="38">
        <f t="shared" si="4"/>
        <v>0.99786605384110305</v>
      </c>
      <c r="U30" s="38">
        <f t="shared" si="5"/>
        <v>1.0289973958333334</v>
      </c>
      <c r="V30" s="25">
        <f>VLOOKUP(D30,Données!$C$2:$E$1300,3,FALSE)</f>
        <v>4.875</v>
      </c>
      <c r="W30">
        <v>8</v>
      </c>
      <c r="X30" s="39">
        <f t="shared" si="10"/>
        <v>8.2319791666666671</v>
      </c>
      <c r="Y30" s="26">
        <f t="shared" si="6"/>
        <v>1.0289973958333334</v>
      </c>
    </row>
    <row r="31" spans="1:25">
      <c r="A31" s="21">
        <v>46300</v>
      </c>
      <c r="B31" s="41" t="s">
        <v>34</v>
      </c>
      <c r="C31" s="31" t="s">
        <v>0</v>
      </c>
      <c r="D31" s="22" t="s">
        <v>35</v>
      </c>
      <c r="E31" s="32" t="str">
        <f>VLOOKUP(D31,Données!$C$2:$D$1300,2,FALSE)</f>
        <v>Insert KIKO</v>
      </c>
      <c r="F31" s="23">
        <v>480</v>
      </c>
      <c r="G31" s="23">
        <v>480</v>
      </c>
      <c r="H31" s="32">
        <f t="shared" si="11"/>
        <v>0</v>
      </c>
      <c r="I31" s="23">
        <v>0</v>
      </c>
      <c r="J31" s="23"/>
      <c r="K31" s="23">
        <v>0</v>
      </c>
      <c r="L31" s="34">
        <f t="shared" si="1"/>
        <v>0</v>
      </c>
      <c r="M31" s="34">
        <f t="shared" si="2"/>
        <v>0</v>
      </c>
      <c r="N31" s="23">
        <v>0</v>
      </c>
      <c r="O31" s="23">
        <v>0</v>
      </c>
      <c r="P31" s="23">
        <v>0</v>
      </c>
      <c r="Q31" s="37">
        <f>VLOOKUP(D31,Données!$C$2:$E$1300,3,FALSE)</f>
        <v>3.75</v>
      </c>
      <c r="R31" s="38" t="str">
        <f>IF(H31&gt;0,L31/H31,"")</f>
        <v/>
      </c>
      <c r="S31" s="38" t="str">
        <f t="shared" si="3"/>
        <v/>
      </c>
      <c r="T31" s="38" t="str">
        <f t="shared" si="4"/>
        <v/>
      </c>
      <c r="U31" s="38" t="str">
        <f t="shared" si="5"/>
        <v/>
      </c>
      <c r="V31" s="25">
        <f>VLOOKUP(D31,Données!$C$2:$E$1300,3,FALSE)</f>
        <v>3.75</v>
      </c>
      <c r="W31">
        <v>0</v>
      </c>
      <c r="X31" s="39">
        <f t="shared" si="10"/>
        <v>0</v>
      </c>
      <c r="Y31" s="26" t="str">
        <f t="shared" si="6"/>
        <v/>
      </c>
    </row>
    <row r="32" spans="1:25">
      <c r="A32" s="21">
        <v>46300</v>
      </c>
      <c r="B32" s="41" t="s">
        <v>34</v>
      </c>
      <c r="C32" s="31" t="s">
        <v>2</v>
      </c>
      <c r="D32" s="22" t="s">
        <v>36</v>
      </c>
      <c r="E32" s="32" t="str">
        <f>VLOOKUP(D32,Données!$C$2:$D$1300,2,FALSE)</f>
        <v>Base KIKO</v>
      </c>
      <c r="F32" s="23">
        <v>480</v>
      </c>
      <c r="G32" s="23">
        <v>480</v>
      </c>
      <c r="H32" s="32">
        <f t="shared" si="11"/>
        <v>0</v>
      </c>
      <c r="I32" s="23">
        <v>0</v>
      </c>
      <c r="J32" s="23"/>
      <c r="K32" s="23">
        <v>0</v>
      </c>
      <c r="L32" s="34">
        <f t="shared" si="1"/>
        <v>0</v>
      </c>
      <c r="M32" s="34">
        <f t="shared" si="2"/>
        <v>0</v>
      </c>
      <c r="N32" s="23">
        <v>0</v>
      </c>
      <c r="O32" s="23">
        <v>0</v>
      </c>
      <c r="P32" s="23">
        <v>0</v>
      </c>
      <c r="Q32" s="37">
        <f>VLOOKUP(D32,Données!$C$2:$E$1300,3,FALSE)</f>
        <v>4.75</v>
      </c>
      <c r="R32" s="38" t="str">
        <f>IF(H32&gt;0,L32/H32,"")</f>
        <v/>
      </c>
      <c r="S32" s="38" t="str">
        <f t="shared" si="3"/>
        <v/>
      </c>
      <c r="T32" s="38" t="str">
        <f t="shared" si="4"/>
        <v/>
      </c>
      <c r="U32" s="38" t="str">
        <f t="shared" si="5"/>
        <v/>
      </c>
      <c r="V32" s="25">
        <f>VLOOKUP(D32,Données!$C$2:$E$1300,3,FALSE)</f>
        <v>4.75</v>
      </c>
      <c r="W32">
        <v>0</v>
      </c>
      <c r="X32" s="39">
        <f t="shared" si="10"/>
        <v>0</v>
      </c>
      <c r="Y32" s="26" t="str">
        <f t="shared" si="6"/>
        <v/>
      </c>
    </row>
    <row r="33" spans="1:25">
      <c r="A33" s="21">
        <v>46300</v>
      </c>
      <c r="B33" s="41" t="s">
        <v>34</v>
      </c>
      <c r="C33" s="31" t="s">
        <v>4</v>
      </c>
      <c r="D33" s="22" t="s">
        <v>37</v>
      </c>
      <c r="E33" s="32" t="str">
        <f>VLOOKUP(D33,Données!$C$2:$D$1300,2,FALSE)</f>
        <v>Cover KIKO</v>
      </c>
      <c r="F33" s="23">
        <v>480</v>
      </c>
      <c r="G33" s="23">
        <v>480</v>
      </c>
      <c r="H33" s="32">
        <f t="shared" si="11"/>
        <v>0</v>
      </c>
      <c r="I33" s="23">
        <v>0</v>
      </c>
      <c r="J33" s="23"/>
      <c r="K33" s="23">
        <v>0</v>
      </c>
      <c r="L33" s="34">
        <f t="shared" si="1"/>
        <v>0</v>
      </c>
      <c r="M33" s="34">
        <f t="shared" si="2"/>
        <v>0</v>
      </c>
      <c r="N33" s="23">
        <v>0</v>
      </c>
      <c r="O33" s="23">
        <v>0</v>
      </c>
      <c r="P33" s="23">
        <v>0</v>
      </c>
      <c r="Q33" s="37">
        <f>VLOOKUP(D33,Données!$C$2:$E$1300,3,FALSE)</f>
        <v>4.875</v>
      </c>
      <c r="R33" s="38" t="str">
        <f>IF(H33&gt;0,L33/H33,"")</f>
        <v/>
      </c>
      <c r="S33" s="38" t="str">
        <f t="shared" si="3"/>
        <v/>
      </c>
      <c r="T33" s="38" t="str">
        <f t="shared" si="4"/>
        <v/>
      </c>
      <c r="U33" s="38" t="str">
        <f t="shared" si="5"/>
        <v/>
      </c>
      <c r="V33" s="25">
        <f>VLOOKUP(D33,Données!$C$2:$E$1300,3,FALSE)</f>
        <v>4.875</v>
      </c>
      <c r="W33">
        <v>0</v>
      </c>
      <c r="X33" s="39">
        <f t="shared" si="10"/>
        <v>0</v>
      </c>
      <c r="Y33" s="26" t="str">
        <f t="shared" si="6"/>
        <v/>
      </c>
    </row>
    <row r="34" spans="1:25">
      <c r="A34" s="21">
        <v>46300</v>
      </c>
      <c r="B34" s="41" t="s">
        <v>38</v>
      </c>
      <c r="C34" s="31" t="s">
        <v>0</v>
      </c>
      <c r="D34" s="22" t="s">
        <v>35</v>
      </c>
      <c r="E34" s="32" t="str">
        <f>VLOOKUP(D34,Données!$C$2:$D$1300,2,FALSE)</f>
        <v>Insert KIKO</v>
      </c>
      <c r="F34" s="23">
        <v>480</v>
      </c>
      <c r="G34" s="23"/>
      <c r="H34" s="32">
        <f t="shared" si="11"/>
        <v>480</v>
      </c>
      <c r="I34" s="23">
        <v>0</v>
      </c>
      <c r="J34" s="23">
        <v>45</v>
      </c>
      <c r="K34" s="23">
        <v>0</v>
      </c>
      <c r="L34" s="34">
        <f t="shared" si="1"/>
        <v>435</v>
      </c>
      <c r="M34" s="34">
        <f t="shared" si="2"/>
        <v>3858</v>
      </c>
      <c r="N34" s="23">
        <v>3854</v>
      </c>
      <c r="O34" s="23">
        <v>4</v>
      </c>
      <c r="P34" s="23">
        <v>0</v>
      </c>
      <c r="Q34" s="37">
        <f>VLOOKUP(D34,Données!$C$2:$E$1300,3,FALSE)</f>
        <v>3.75</v>
      </c>
      <c r="R34" s="38">
        <f>IF(H34&gt;0,L34/H34,"")</f>
        <v>0.90625</v>
      </c>
      <c r="S34" s="38">
        <f t="shared" si="3"/>
        <v>0.55431034482758623</v>
      </c>
      <c r="T34" s="38">
        <f t="shared" si="4"/>
        <v>0.99896319336443751</v>
      </c>
      <c r="U34" s="38">
        <f t="shared" si="5"/>
        <v>0.50182291666666667</v>
      </c>
      <c r="V34" s="25">
        <f>VLOOKUP(D34,Données!$C$2:$E$1300,3,FALSE)</f>
        <v>3.75</v>
      </c>
      <c r="W34">
        <v>8</v>
      </c>
      <c r="X34" s="39">
        <f t="shared" si="10"/>
        <v>4.0145833333333334</v>
      </c>
      <c r="Y34" s="26">
        <f t="shared" si="6"/>
        <v>0.50182291666666667</v>
      </c>
    </row>
    <row r="35" spans="1:25">
      <c r="A35" s="21">
        <v>46300</v>
      </c>
      <c r="B35" s="41" t="s">
        <v>38</v>
      </c>
      <c r="C35" s="31" t="s">
        <v>2</v>
      </c>
      <c r="D35" s="22" t="s">
        <v>36</v>
      </c>
      <c r="E35" s="32" t="str">
        <f>VLOOKUP(D35,Données!$C$2:$D$1300,2,FALSE)</f>
        <v>Base KIKO</v>
      </c>
      <c r="F35" s="23">
        <v>480</v>
      </c>
      <c r="G35" s="23"/>
      <c r="H35" s="32">
        <f t="shared" si="11"/>
        <v>480</v>
      </c>
      <c r="I35" s="23">
        <v>0</v>
      </c>
      <c r="J35" s="23">
        <v>45</v>
      </c>
      <c r="K35" s="23">
        <v>0</v>
      </c>
      <c r="L35" s="34">
        <f t="shared" si="1"/>
        <v>435</v>
      </c>
      <c r="M35" s="34">
        <f t="shared" si="2"/>
        <v>4539</v>
      </c>
      <c r="N35" s="23">
        <v>4516</v>
      </c>
      <c r="O35" s="23">
        <v>23</v>
      </c>
      <c r="P35" s="23">
        <v>0</v>
      </c>
      <c r="Q35" s="37">
        <f>VLOOKUP(D35,Données!$C$2:$E$1300,3,FALSE)</f>
        <v>4.75</v>
      </c>
      <c r="R35" s="38">
        <f>IF(H35&gt;0,L35/H35,"")</f>
        <v>0.90625</v>
      </c>
      <c r="S35" s="38">
        <f t="shared" si="3"/>
        <v>0.82606321839080454</v>
      </c>
      <c r="T35" s="38">
        <f t="shared" si="4"/>
        <v>0.99493280458250721</v>
      </c>
      <c r="U35" s="38">
        <f t="shared" si="5"/>
        <v>0.74482638888888886</v>
      </c>
      <c r="V35" s="25">
        <f>VLOOKUP(D35,Données!$C$2:$E$1300,3,FALSE)</f>
        <v>4.75</v>
      </c>
      <c r="W35">
        <v>8</v>
      </c>
      <c r="X35" s="39">
        <f t="shared" si="10"/>
        <v>5.9586111111111109</v>
      </c>
      <c r="Y35" s="26">
        <f t="shared" si="6"/>
        <v>0.74482638888888886</v>
      </c>
    </row>
    <row r="36" spans="1:25">
      <c r="A36" s="21">
        <v>46300</v>
      </c>
      <c r="B36" s="41" t="s">
        <v>38</v>
      </c>
      <c r="C36" s="31" t="s">
        <v>4</v>
      </c>
      <c r="D36" s="22" t="s">
        <v>37</v>
      </c>
      <c r="E36" s="32" t="str">
        <f>VLOOKUP(D36,Données!$C$2:$D$1300,2,FALSE)</f>
        <v>Cover KIKO</v>
      </c>
      <c r="F36" s="23">
        <v>480</v>
      </c>
      <c r="G36" s="23"/>
      <c r="H36" s="32">
        <f t="shared" si="11"/>
        <v>480</v>
      </c>
      <c r="I36" s="23">
        <v>0</v>
      </c>
      <c r="J36" s="23">
        <v>45</v>
      </c>
      <c r="K36" s="23">
        <v>0</v>
      </c>
      <c r="L36" s="34">
        <f t="shared" si="1"/>
        <v>435</v>
      </c>
      <c r="M36" s="34">
        <f t="shared" si="2"/>
        <v>4360</v>
      </c>
      <c r="N36" s="23">
        <v>4331</v>
      </c>
      <c r="O36" s="23">
        <v>29</v>
      </c>
      <c r="P36" s="23">
        <v>0</v>
      </c>
      <c r="Q36" s="37">
        <f>VLOOKUP(D36,Données!$C$2:$E$1300,3,FALSE)</f>
        <v>4.875</v>
      </c>
      <c r="R36" s="38">
        <f>IF(H36&gt;0,L36/H36,"")</f>
        <v>0.90625</v>
      </c>
      <c r="S36" s="38">
        <f t="shared" si="3"/>
        <v>0.81436781609195397</v>
      </c>
      <c r="T36" s="38">
        <f t="shared" si="4"/>
        <v>0.99334862385321099</v>
      </c>
      <c r="U36" s="38">
        <f t="shared" si="5"/>
        <v>0.73311197916666659</v>
      </c>
      <c r="V36" s="25">
        <f>VLOOKUP(D36,Données!$C$2:$E$1300,3,FALSE)</f>
        <v>4.875</v>
      </c>
      <c r="W36">
        <v>8</v>
      </c>
      <c r="X36" s="39">
        <f t="shared" si="10"/>
        <v>5.8648958333333336</v>
      </c>
      <c r="Y36" s="26">
        <f t="shared" si="6"/>
        <v>0.73311197916666671</v>
      </c>
    </row>
    <row r="37" spans="1:25">
      <c r="A37" s="21">
        <v>46300</v>
      </c>
      <c r="B37" s="41" t="s">
        <v>76</v>
      </c>
      <c r="C37" s="31" t="s">
        <v>0</v>
      </c>
      <c r="D37" s="22" t="s">
        <v>35</v>
      </c>
      <c r="E37" s="32" t="str">
        <f>VLOOKUP(D37,Données!$C$2:$D$1300,2,FALSE)</f>
        <v>Insert KIKO</v>
      </c>
      <c r="F37" s="23">
        <v>480</v>
      </c>
      <c r="G37" s="23"/>
      <c r="H37" s="32">
        <f t="shared" si="11"/>
        <v>480</v>
      </c>
      <c r="I37" s="23">
        <v>0</v>
      </c>
      <c r="J37" s="23">
        <v>25</v>
      </c>
      <c r="K37" s="23">
        <v>0</v>
      </c>
      <c r="L37" s="34">
        <f t="shared" si="1"/>
        <v>455</v>
      </c>
      <c r="M37" s="34">
        <f t="shared" si="2"/>
        <v>5984</v>
      </c>
      <c r="N37" s="23">
        <v>5925</v>
      </c>
      <c r="O37" s="23">
        <v>59</v>
      </c>
      <c r="P37" s="23">
        <v>0</v>
      </c>
      <c r="Q37" s="37">
        <f>VLOOKUP(D37,Données!$C$2:$E$1300,3,FALSE)</f>
        <v>3.75</v>
      </c>
      <c r="R37" s="38">
        <f>IF(H37&gt;0,L37/H37,"")</f>
        <v>0.94791666666666663</v>
      </c>
      <c r="S37" s="38">
        <f t="shared" si="3"/>
        <v>0.82197802197802194</v>
      </c>
      <c r="T37" s="38">
        <f t="shared" si="4"/>
        <v>0.99014037433155078</v>
      </c>
      <c r="U37" s="38">
        <f t="shared" si="5"/>
        <v>0.77148437499999989</v>
      </c>
      <c r="V37" s="25">
        <f>VLOOKUP(D37,Données!$C$2:$E$1300,3,FALSE)</f>
        <v>3.75</v>
      </c>
      <c r="W37">
        <v>8</v>
      </c>
      <c r="X37" s="39">
        <f t="shared" si="10"/>
        <v>6.171875</v>
      </c>
      <c r="Y37" s="26">
        <f t="shared" si="6"/>
        <v>0.771484375</v>
      </c>
    </row>
    <row r="38" spans="1:25">
      <c r="A38" s="21">
        <v>46300</v>
      </c>
      <c r="B38" s="41" t="s">
        <v>76</v>
      </c>
      <c r="C38" s="31" t="s">
        <v>2</v>
      </c>
      <c r="D38" s="22" t="s">
        <v>36</v>
      </c>
      <c r="E38" s="32" t="str">
        <f>VLOOKUP(D38,Données!$C$2:$D$1300,2,FALSE)</f>
        <v>Base KIKO</v>
      </c>
      <c r="F38" s="23">
        <v>480</v>
      </c>
      <c r="G38" s="23"/>
      <c r="H38" s="32">
        <f t="shared" si="11"/>
        <v>480</v>
      </c>
      <c r="I38" s="23">
        <v>0</v>
      </c>
      <c r="J38" s="23">
        <v>25</v>
      </c>
      <c r="K38" s="23">
        <v>0</v>
      </c>
      <c r="L38" s="34">
        <f t="shared" si="1"/>
        <v>455</v>
      </c>
      <c r="M38" s="34">
        <f t="shared" si="2"/>
        <v>6151</v>
      </c>
      <c r="N38" s="23">
        <v>6141</v>
      </c>
      <c r="O38" s="23">
        <v>10</v>
      </c>
      <c r="P38" s="23">
        <v>0</v>
      </c>
      <c r="Q38" s="37">
        <f>VLOOKUP(D38,Données!$C$2:$E$1300,3,FALSE)</f>
        <v>4.75</v>
      </c>
      <c r="R38" s="38">
        <f>IF(H38&gt;0,L38/H38,"")</f>
        <v>0.94791666666666663</v>
      </c>
      <c r="S38" s="38">
        <f t="shared" si="3"/>
        <v>1.0702289377289378</v>
      </c>
      <c r="T38" s="38">
        <f t="shared" si="4"/>
        <v>0.99837424808974151</v>
      </c>
      <c r="U38" s="38">
        <f t="shared" si="5"/>
        <v>1.0128385416666668</v>
      </c>
      <c r="V38" s="25">
        <f>VLOOKUP(D38,Données!$C$2:$E$1300,3,FALSE)</f>
        <v>4.75</v>
      </c>
      <c r="W38">
        <v>8</v>
      </c>
      <c r="X38" s="39">
        <f t="shared" si="10"/>
        <v>8.1027083333333341</v>
      </c>
      <c r="Y38" s="26">
        <f t="shared" si="6"/>
        <v>1.0128385416666668</v>
      </c>
    </row>
    <row r="39" spans="1:25">
      <c r="A39" s="21">
        <v>46300</v>
      </c>
      <c r="B39" s="41" t="s">
        <v>76</v>
      </c>
      <c r="C39" s="31" t="s">
        <v>4</v>
      </c>
      <c r="D39" s="22" t="s">
        <v>37</v>
      </c>
      <c r="E39" s="32" t="str">
        <f>VLOOKUP(D39,Données!$C$2:$D$1300,2,FALSE)</f>
        <v>Cover KIKO</v>
      </c>
      <c r="F39" s="23">
        <v>480</v>
      </c>
      <c r="G39" s="23"/>
      <c r="H39" s="32">
        <f t="shared" si="11"/>
        <v>480</v>
      </c>
      <c r="I39" s="23">
        <v>0</v>
      </c>
      <c r="J39" s="23">
        <v>25</v>
      </c>
      <c r="K39" s="23">
        <v>0</v>
      </c>
      <c r="L39" s="34">
        <f t="shared" si="1"/>
        <v>455</v>
      </c>
      <c r="M39" s="34">
        <f t="shared" si="2"/>
        <v>5952</v>
      </c>
      <c r="N39" s="23">
        <v>5902</v>
      </c>
      <c r="O39" s="23">
        <v>50</v>
      </c>
      <c r="P39" s="23">
        <v>0</v>
      </c>
      <c r="Q39" s="37">
        <f>VLOOKUP(D39,Données!$C$2:$E$1300,3,FALSE)</f>
        <v>4.875</v>
      </c>
      <c r="R39" s="38">
        <f>IF(H39&gt;0,L39/H39,"")</f>
        <v>0.94791666666666663</v>
      </c>
      <c r="S39" s="38">
        <f t="shared" si="3"/>
        <v>1.0628571428571429</v>
      </c>
      <c r="T39" s="38">
        <f t="shared" si="4"/>
        <v>0.99159946236559138</v>
      </c>
      <c r="U39" s="38">
        <f t="shared" si="5"/>
        <v>0.99903645833333332</v>
      </c>
      <c r="V39" s="25">
        <f>VLOOKUP(D39,Données!$C$2:$E$1300,3,FALSE)</f>
        <v>4.875</v>
      </c>
      <c r="W39">
        <v>8</v>
      </c>
      <c r="X39" s="39">
        <f t="shared" si="10"/>
        <v>7.9922916666666666</v>
      </c>
      <c r="Y39" s="26">
        <f t="shared" si="6"/>
        <v>0.99903645833333332</v>
      </c>
    </row>
    <row r="40" spans="1:25">
      <c r="A40" s="21">
        <v>46301</v>
      </c>
      <c r="B40" s="41" t="s">
        <v>34</v>
      </c>
      <c r="C40" s="31" t="s">
        <v>0</v>
      </c>
      <c r="D40" s="22" t="s">
        <v>35</v>
      </c>
      <c r="E40" s="32" t="str">
        <f>VLOOKUP(D40,Données!$C$2:$D$1300,2,FALSE)</f>
        <v>Insert KIKO</v>
      </c>
      <c r="F40" s="23">
        <v>480</v>
      </c>
      <c r="G40" s="23">
        <v>480</v>
      </c>
      <c r="H40" s="32">
        <f t="shared" si="11"/>
        <v>0</v>
      </c>
      <c r="I40" s="23">
        <v>0</v>
      </c>
      <c r="J40" s="23"/>
      <c r="K40" s="23">
        <v>0</v>
      </c>
      <c r="L40" s="34">
        <f t="shared" si="1"/>
        <v>0</v>
      </c>
      <c r="M40" s="34">
        <f t="shared" si="2"/>
        <v>0</v>
      </c>
      <c r="N40" s="23">
        <v>0</v>
      </c>
      <c r="O40" s="23">
        <v>0</v>
      </c>
      <c r="P40" s="23">
        <v>0</v>
      </c>
      <c r="Q40" s="37">
        <f>VLOOKUP(D40,Données!$C$2:$E$1300,3,FALSE)</f>
        <v>3.75</v>
      </c>
      <c r="R40" s="38" t="str">
        <f>IF(H40&gt;0,L40/H40,"")</f>
        <v/>
      </c>
      <c r="S40" s="38" t="str">
        <f t="shared" si="3"/>
        <v/>
      </c>
      <c r="T40" s="38" t="str">
        <f t="shared" si="4"/>
        <v/>
      </c>
      <c r="U40" s="38" t="str">
        <f t="shared" si="5"/>
        <v/>
      </c>
      <c r="V40" s="25">
        <f>VLOOKUP(D40,Données!$C$2:$E$1300,3,FALSE)</f>
        <v>3.75</v>
      </c>
      <c r="W40">
        <v>0</v>
      </c>
      <c r="X40" s="39">
        <f t="shared" si="10"/>
        <v>0</v>
      </c>
      <c r="Y40" s="26" t="str">
        <f t="shared" si="6"/>
        <v/>
      </c>
    </row>
    <row r="41" spans="1:25">
      <c r="A41" s="21">
        <v>46301</v>
      </c>
      <c r="B41" s="41" t="s">
        <v>34</v>
      </c>
      <c r="C41" s="31" t="s">
        <v>2</v>
      </c>
      <c r="D41" s="22" t="s">
        <v>36</v>
      </c>
      <c r="E41" s="32" t="str">
        <f>VLOOKUP(D41,Données!$C$2:$D$1300,2,FALSE)</f>
        <v>Base KIKO</v>
      </c>
      <c r="F41" s="23">
        <v>480</v>
      </c>
      <c r="G41" s="23">
        <v>480</v>
      </c>
      <c r="H41" s="32">
        <f t="shared" si="11"/>
        <v>0</v>
      </c>
      <c r="I41" s="23">
        <v>0</v>
      </c>
      <c r="J41" s="23"/>
      <c r="K41" s="23">
        <v>0</v>
      </c>
      <c r="L41" s="34">
        <f t="shared" si="1"/>
        <v>0</v>
      </c>
      <c r="M41" s="34">
        <f t="shared" si="2"/>
        <v>0</v>
      </c>
      <c r="N41" s="23">
        <v>0</v>
      </c>
      <c r="O41" s="23">
        <v>0</v>
      </c>
      <c r="P41" s="23">
        <v>0</v>
      </c>
      <c r="Q41" s="37">
        <f>VLOOKUP(D41,Données!$C$2:$E$1300,3,FALSE)</f>
        <v>4.75</v>
      </c>
      <c r="R41" s="38" t="str">
        <f>IF(H41&gt;0,L41/H41,"")</f>
        <v/>
      </c>
      <c r="S41" s="38" t="str">
        <f t="shared" si="3"/>
        <v/>
      </c>
      <c r="T41" s="38" t="str">
        <f t="shared" si="4"/>
        <v/>
      </c>
      <c r="U41" s="38" t="str">
        <f t="shared" si="5"/>
        <v/>
      </c>
      <c r="V41" s="25">
        <f>VLOOKUP(D41,Données!$C$2:$E$1300,3,FALSE)</f>
        <v>4.75</v>
      </c>
      <c r="W41">
        <v>0</v>
      </c>
      <c r="X41" s="39">
        <f t="shared" si="10"/>
        <v>0</v>
      </c>
      <c r="Y41" s="26" t="str">
        <f t="shared" si="6"/>
        <v/>
      </c>
    </row>
    <row r="42" spans="1:25">
      <c r="A42" s="21">
        <v>46301</v>
      </c>
      <c r="B42" s="41" t="s">
        <v>34</v>
      </c>
      <c r="C42" s="31" t="s">
        <v>4</v>
      </c>
      <c r="D42" s="22" t="s">
        <v>37</v>
      </c>
      <c r="E42" s="32" t="str">
        <f>VLOOKUP(D42,Données!$C$2:$D$1300,2,FALSE)</f>
        <v>Cover KIKO</v>
      </c>
      <c r="F42" s="23">
        <v>480</v>
      </c>
      <c r="G42" s="23">
        <v>480</v>
      </c>
      <c r="H42" s="32">
        <f t="shared" si="11"/>
        <v>0</v>
      </c>
      <c r="I42" s="23">
        <v>0</v>
      </c>
      <c r="J42" s="23"/>
      <c r="K42" s="23">
        <v>0</v>
      </c>
      <c r="L42" s="34">
        <f t="shared" si="1"/>
        <v>0</v>
      </c>
      <c r="M42" s="34">
        <f t="shared" si="2"/>
        <v>0</v>
      </c>
      <c r="N42" s="23">
        <v>0</v>
      </c>
      <c r="O42" s="23">
        <v>0</v>
      </c>
      <c r="P42" s="23">
        <v>0</v>
      </c>
      <c r="Q42" s="37">
        <f>VLOOKUP(D42,Données!$C$2:$E$1300,3,FALSE)</f>
        <v>4.875</v>
      </c>
      <c r="R42" s="38" t="str">
        <f>IF(H42&gt;0,L42/H42,"")</f>
        <v/>
      </c>
      <c r="S42" s="38" t="str">
        <f t="shared" si="3"/>
        <v/>
      </c>
      <c r="T42" s="38" t="str">
        <f t="shared" si="4"/>
        <v/>
      </c>
      <c r="U42" s="38" t="str">
        <f t="shared" si="5"/>
        <v/>
      </c>
      <c r="V42" s="25">
        <f>VLOOKUP(D42,Données!$C$2:$E$1300,3,FALSE)</f>
        <v>4.875</v>
      </c>
      <c r="W42">
        <v>0</v>
      </c>
      <c r="X42" s="39">
        <f t="shared" si="10"/>
        <v>0</v>
      </c>
      <c r="Y42" s="26" t="str">
        <f t="shared" si="6"/>
        <v/>
      </c>
    </row>
    <row r="43" spans="1:25">
      <c r="A43" s="21">
        <v>46301</v>
      </c>
      <c r="B43" s="41" t="s">
        <v>38</v>
      </c>
      <c r="C43" s="31" t="s">
        <v>0</v>
      </c>
      <c r="D43" s="22" t="s">
        <v>35</v>
      </c>
      <c r="E43" s="32" t="str">
        <f>VLOOKUP(D43,Données!$C$2:$D$1300,2,FALSE)</f>
        <v>Insert KIKO</v>
      </c>
      <c r="F43" s="23">
        <v>480</v>
      </c>
      <c r="G43" s="23"/>
      <c r="H43" s="32">
        <f t="shared" si="11"/>
        <v>480</v>
      </c>
      <c r="I43" s="23">
        <v>0</v>
      </c>
      <c r="J43" s="23">
        <v>45</v>
      </c>
      <c r="K43" s="23">
        <v>0</v>
      </c>
      <c r="L43" s="34">
        <f t="shared" si="1"/>
        <v>435</v>
      </c>
      <c r="M43" s="34">
        <f t="shared" si="2"/>
        <v>5089</v>
      </c>
      <c r="N43" s="23">
        <v>5004</v>
      </c>
      <c r="O43" s="23">
        <v>85</v>
      </c>
      <c r="P43" s="23">
        <v>0</v>
      </c>
      <c r="Q43" s="37">
        <f>VLOOKUP(D43,Données!$C$2:$E$1300,3,FALSE)</f>
        <v>3.75</v>
      </c>
      <c r="R43" s="38">
        <f>IF(H43&gt;0,L43/H43,"")</f>
        <v>0.90625</v>
      </c>
      <c r="S43" s="38">
        <f t="shared" si="3"/>
        <v>0.73117816091954024</v>
      </c>
      <c r="T43" s="38">
        <f t="shared" si="4"/>
        <v>0.98329730791904102</v>
      </c>
      <c r="U43" s="38">
        <f t="shared" si="5"/>
        <v>0.65156249999999993</v>
      </c>
      <c r="V43" s="25">
        <f>VLOOKUP(D43,Données!$C$2:$E$1300,3,FALSE)</f>
        <v>3.75</v>
      </c>
      <c r="W43">
        <v>8</v>
      </c>
      <c r="X43" s="39">
        <f t="shared" si="10"/>
        <v>5.2125000000000004</v>
      </c>
      <c r="Y43" s="26">
        <f t="shared" si="6"/>
        <v>0.65156250000000004</v>
      </c>
    </row>
    <row r="44" spans="1:25">
      <c r="A44" s="21">
        <v>46301</v>
      </c>
      <c r="B44" s="41" t="s">
        <v>38</v>
      </c>
      <c r="C44" s="31" t="s">
        <v>2</v>
      </c>
      <c r="D44" s="22" t="s">
        <v>36</v>
      </c>
      <c r="E44" s="32" t="str">
        <f>VLOOKUP(D44,Données!$C$2:$D$1300,2,FALSE)</f>
        <v>Base KIKO</v>
      </c>
      <c r="F44" s="23">
        <v>480</v>
      </c>
      <c r="G44" s="23"/>
      <c r="H44" s="32">
        <f t="shared" si="11"/>
        <v>480</v>
      </c>
      <c r="I44" s="23">
        <v>0</v>
      </c>
      <c r="J44" s="23">
        <v>45</v>
      </c>
      <c r="K44" s="23">
        <v>0</v>
      </c>
      <c r="L44" s="34">
        <f t="shared" si="1"/>
        <v>435</v>
      </c>
      <c r="M44" s="34">
        <f t="shared" si="2"/>
        <v>4443</v>
      </c>
      <c r="N44" s="23">
        <v>4376</v>
      </c>
      <c r="O44" s="23">
        <v>67</v>
      </c>
      <c r="P44" s="23">
        <v>0</v>
      </c>
      <c r="Q44" s="37">
        <f>VLOOKUP(D44,Données!$C$2:$E$1300,3,FALSE)</f>
        <v>4.75</v>
      </c>
      <c r="R44" s="38">
        <f>IF(H44&gt;0,L44/H44,"")</f>
        <v>0.90625</v>
      </c>
      <c r="S44" s="38">
        <f t="shared" si="3"/>
        <v>0.80859195402298845</v>
      </c>
      <c r="T44" s="38">
        <f t="shared" si="4"/>
        <v>0.98492009903218547</v>
      </c>
      <c r="U44" s="38">
        <f t="shared" si="5"/>
        <v>0.72173611111111102</v>
      </c>
      <c r="V44" s="25">
        <f>VLOOKUP(D44,Données!$C$2:$E$1300,3,FALSE)</f>
        <v>4.75</v>
      </c>
      <c r="W44">
        <v>8</v>
      </c>
      <c r="X44" s="39">
        <f t="shared" si="10"/>
        <v>5.7738888888888891</v>
      </c>
      <c r="Y44" s="26">
        <f t="shared" si="6"/>
        <v>0.72173611111111113</v>
      </c>
    </row>
    <row r="45" spans="1:25">
      <c r="A45" s="21">
        <v>46301</v>
      </c>
      <c r="B45" s="41" t="s">
        <v>38</v>
      </c>
      <c r="C45" s="31" t="s">
        <v>4</v>
      </c>
      <c r="D45" s="22" t="s">
        <v>37</v>
      </c>
      <c r="E45" s="32" t="str">
        <f>VLOOKUP(D45,Données!$C$2:$D$1300,2,FALSE)</f>
        <v>Cover KIKO</v>
      </c>
      <c r="F45" s="23">
        <v>480</v>
      </c>
      <c r="G45" s="23"/>
      <c r="H45" s="32">
        <f t="shared" si="11"/>
        <v>480</v>
      </c>
      <c r="I45" s="23">
        <v>0</v>
      </c>
      <c r="J45" s="23">
        <v>45</v>
      </c>
      <c r="K45" s="23">
        <v>0</v>
      </c>
      <c r="L45" s="34">
        <f t="shared" si="1"/>
        <v>435</v>
      </c>
      <c r="M45" s="34">
        <f t="shared" si="2"/>
        <v>4838</v>
      </c>
      <c r="N45" s="23">
        <v>4760</v>
      </c>
      <c r="O45" s="23">
        <v>78</v>
      </c>
      <c r="P45" s="23">
        <v>0</v>
      </c>
      <c r="Q45" s="37">
        <f>VLOOKUP(D45,Données!$C$2:$E$1300,3,FALSE)</f>
        <v>4.875</v>
      </c>
      <c r="R45" s="38">
        <f>IF(H45&gt;0,L45/H45,"")</f>
        <v>0.90625</v>
      </c>
      <c r="S45" s="38">
        <f t="shared" si="3"/>
        <v>0.90364942528735626</v>
      </c>
      <c r="T45" s="38">
        <f t="shared" si="4"/>
        <v>0.9838776353865234</v>
      </c>
      <c r="U45" s="38">
        <f t="shared" si="5"/>
        <v>0.80572916666666661</v>
      </c>
      <c r="V45" s="25">
        <f>VLOOKUP(D45,Données!$C$2:$E$1300,3,FALSE)</f>
        <v>4.875</v>
      </c>
      <c r="W45">
        <v>8</v>
      </c>
      <c r="X45" s="39">
        <f t="shared" si="10"/>
        <v>6.4458333333333337</v>
      </c>
      <c r="Y45" s="26">
        <f t="shared" si="6"/>
        <v>0.80572916666666672</v>
      </c>
    </row>
    <row r="46" spans="1:25">
      <c r="A46" s="21">
        <v>46301</v>
      </c>
      <c r="B46" s="41" t="s">
        <v>76</v>
      </c>
      <c r="C46" s="31" t="s">
        <v>0</v>
      </c>
      <c r="D46" s="22" t="s">
        <v>35</v>
      </c>
      <c r="E46" s="32" t="str">
        <f>VLOOKUP(D46,Données!$C$2:$D$1300,2,FALSE)</f>
        <v>Insert KIKO</v>
      </c>
      <c r="F46" s="23">
        <v>480</v>
      </c>
      <c r="G46" s="23"/>
      <c r="H46" s="32">
        <f t="shared" si="11"/>
        <v>480</v>
      </c>
      <c r="I46" s="23">
        <v>0</v>
      </c>
      <c r="J46" s="23">
        <v>25</v>
      </c>
      <c r="K46" s="23">
        <v>0</v>
      </c>
      <c r="L46" s="34">
        <f t="shared" si="1"/>
        <v>455</v>
      </c>
      <c r="M46" s="34">
        <f t="shared" si="2"/>
        <v>6815</v>
      </c>
      <c r="N46" s="23">
        <v>6800</v>
      </c>
      <c r="O46" s="23">
        <v>15</v>
      </c>
      <c r="P46" s="23">
        <v>0</v>
      </c>
      <c r="Q46" s="37">
        <f>VLOOKUP(D46,Données!$C$2:$E$1300,3,FALSE)</f>
        <v>3.75</v>
      </c>
      <c r="R46" s="38">
        <f>IF(H46&gt;0,L46/H46,"")</f>
        <v>0.94791666666666663</v>
      </c>
      <c r="S46" s="38">
        <f t="shared" si="3"/>
        <v>0.93612637362637363</v>
      </c>
      <c r="T46" s="38">
        <f t="shared" si="4"/>
        <v>0.99779897285399854</v>
      </c>
      <c r="U46" s="38">
        <f t="shared" si="5"/>
        <v>0.88541666666666663</v>
      </c>
      <c r="V46" s="25">
        <f>VLOOKUP(D46,Données!$C$2:$E$1300,3,FALSE)</f>
        <v>3.75</v>
      </c>
      <c r="W46">
        <v>8</v>
      </c>
      <c r="X46" s="39">
        <f t="shared" si="10"/>
        <v>7.083333333333333</v>
      </c>
      <c r="Y46" s="26">
        <f t="shared" si="6"/>
        <v>0.88541666666666663</v>
      </c>
    </row>
    <row r="47" spans="1:25">
      <c r="A47" s="21">
        <v>46301</v>
      </c>
      <c r="B47" s="41" t="s">
        <v>76</v>
      </c>
      <c r="C47" s="31" t="s">
        <v>2</v>
      </c>
      <c r="D47" s="22" t="s">
        <v>36</v>
      </c>
      <c r="E47" s="32" t="str">
        <f>VLOOKUP(D47,Données!$C$2:$D$1300,2,FALSE)</f>
        <v>Base KIKO</v>
      </c>
      <c r="F47" s="23">
        <v>480</v>
      </c>
      <c r="G47" s="23"/>
      <c r="H47" s="32">
        <f t="shared" si="11"/>
        <v>480</v>
      </c>
      <c r="I47" s="23">
        <v>0</v>
      </c>
      <c r="J47" s="23">
        <v>25</v>
      </c>
      <c r="K47" s="23">
        <v>0</v>
      </c>
      <c r="L47" s="34">
        <f t="shared" si="1"/>
        <v>455</v>
      </c>
      <c r="M47" s="34">
        <f t="shared" si="2"/>
        <v>6573</v>
      </c>
      <c r="N47" s="23">
        <v>6544</v>
      </c>
      <c r="O47" s="23">
        <v>29</v>
      </c>
      <c r="P47" s="23">
        <v>0</v>
      </c>
      <c r="Q47" s="37">
        <f>VLOOKUP(D47,Données!$C$2:$E$1300,3,FALSE)</f>
        <v>4.75</v>
      </c>
      <c r="R47" s="38">
        <f>IF(H47&gt;0,L47/H47,"")</f>
        <v>0.94791666666666663</v>
      </c>
      <c r="S47" s="38">
        <f t="shared" si="3"/>
        <v>1.1436538461538461</v>
      </c>
      <c r="T47" s="38">
        <f t="shared" si="4"/>
        <v>0.99558801156245247</v>
      </c>
      <c r="U47" s="38">
        <f t="shared" si="5"/>
        <v>1.0793055555555555</v>
      </c>
      <c r="V47" s="25">
        <f>VLOOKUP(D47,Données!$C$2:$E$1300,3,FALSE)</f>
        <v>4.75</v>
      </c>
      <c r="W47">
        <v>8</v>
      </c>
      <c r="X47" s="39">
        <f t="shared" si="10"/>
        <v>8.6344444444444441</v>
      </c>
      <c r="Y47" s="26">
        <f t="shared" si="6"/>
        <v>1.0793055555555555</v>
      </c>
    </row>
    <row r="48" spans="1:25">
      <c r="A48" s="21">
        <v>46301</v>
      </c>
      <c r="B48" s="41" t="s">
        <v>76</v>
      </c>
      <c r="C48" s="31" t="s">
        <v>4</v>
      </c>
      <c r="D48" s="22" t="s">
        <v>37</v>
      </c>
      <c r="E48" s="32" t="str">
        <f>VLOOKUP(D48,Données!$C$2:$D$1300,2,FALSE)</f>
        <v>Cover KIKO</v>
      </c>
      <c r="F48" s="23">
        <v>480</v>
      </c>
      <c r="G48" s="23"/>
      <c r="H48" s="32">
        <f t="shared" si="11"/>
        <v>480</v>
      </c>
      <c r="I48" s="23">
        <v>0</v>
      </c>
      <c r="J48" s="23">
        <v>25</v>
      </c>
      <c r="K48" s="23">
        <v>0</v>
      </c>
      <c r="L48" s="34">
        <f t="shared" si="1"/>
        <v>455</v>
      </c>
      <c r="M48" s="34">
        <f t="shared" si="2"/>
        <v>5050</v>
      </c>
      <c r="N48" s="23">
        <v>4960</v>
      </c>
      <c r="O48" s="23">
        <v>90</v>
      </c>
      <c r="P48" s="23">
        <v>0</v>
      </c>
      <c r="Q48" s="37">
        <f>VLOOKUP(D48,Données!$C$2:$E$1300,3,FALSE)</f>
        <v>4.875</v>
      </c>
      <c r="R48" s="38">
        <f>IF(H48&gt;0,L48/H48,"")</f>
        <v>0.94791666666666663</v>
      </c>
      <c r="S48" s="38">
        <f t="shared" si="3"/>
        <v>0.9017857142857143</v>
      </c>
      <c r="T48" s="38">
        <f t="shared" si="4"/>
        <v>0.98217821782178216</v>
      </c>
      <c r="U48" s="38">
        <f t="shared" si="5"/>
        <v>0.83958333333333335</v>
      </c>
      <c r="V48" s="25">
        <f>VLOOKUP(D48,Données!$C$2:$E$1300,3,FALSE)</f>
        <v>4.875</v>
      </c>
      <c r="W48">
        <v>8</v>
      </c>
      <c r="X48" s="39">
        <f t="shared" si="10"/>
        <v>6.7166666666666668</v>
      </c>
      <c r="Y48" s="26">
        <f t="shared" si="6"/>
        <v>0.83958333333333335</v>
      </c>
    </row>
    <row r="49" spans="1:25">
      <c r="A49" s="21">
        <v>46302</v>
      </c>
      <c r="B49" s="41" t="s">
        <v>34</v>
      </c>
      <c r="C49" s="31" t="s">
        <v>0</v>
      </c>
      <c r="D49" s="22" t="s">
        <v>35</v>
      </c>
      <c r="E49" s="32" t="str">
        <f>VLOOKUP(D49,Données!$C$2:$D$1300,2,FALSE)</f>
        <v>Insert KIKO</v>
      </c>
      <c r="F49" s="23">
        <v>480</v>
      </c>
      <c r="G49" s="23">
        <v>480</v>
      </c>
      <c r="H49" s="32">
        <f t="shared" si="11"/>
        <v>0</v>
      </c>
      <c r="I49" s="23">
        <v>0</v>
      </c>
      <c r="J49" s="23"/>
      <c r="K49" s="23">
        <v>0</v>
      </c>
      <c r="L49" s="34">
        <f t="shared" si="1"/>
        <v>0</v>
      </c>
      <c r="M49" s="34">
        <f t="shared" si="2"/>
        <v>0</v>
      </c>
      <c r="N49" s="23">
        <v>0</v>
      </c>
      <c r="O49" s="23">
        <v>0</v>
      </c>
      <c r="P49" s="23">
        <v>0</v>
      </c>
      <c r="Q49" s="37">
        <f>VLOOKUP(D49,Données!$C$2:$E$1300,3,FALSE)</f>
        <v>3.75</v>
      </c>
      <c r="R49" s="38" t="str">
        <f>IF(H49&gt;0,L49/H49,"")</f>
        <v/>
      </c>
      <c r="S49" s="38" t="str">
        <f t="shared" si="3"/>
        <v/>
      </c>
      <c r="T49" s="38" t="str">
        <f t="shared" si="4"/>
        <v/>
      </c>
      <c r="U49" s="38" t="str">
        <f t="shared" si="5"/>
        <v/>
      </c>
      <c r="V49" s="25">
        <f>VLOOKUP(D49,Données!$C$2:$E$1300,3,FALSE)</f>
        <v>3.75</v>
      </c>
      <c r="W49">
        <v>0</v>
      </c>
      <c r="X49" s="39">
        <f t="shared" si="10"/>
        <v>0</v>
      </c>
      <c r="Y49" s="26" t="str">
        <f t="shared" si="6"/>
        <v/>
      </c>
    </row>
    <row r="50" spans="1:25">
      <c r="A50" s="21">
        <v>46302</v>
      </c>
      <c r="B50" s="41" t="s">
        <v>34</v>
      </c>
      <c r="C50" s="31" t="s">
        <v>2</v>
      </c>
      <c r="D50" s="22" t="s">
        <v>36</v>
      </c>
      <c r="E50" s="32" t="str">
        <f>VLOOKUP(D50,Données!$C$2:$D$1300,2,FALSE)</f>
        <v>Base KIKO</v>
      </c>
      <c r="F50" s="23">
        <v>480</v>
      </c>
      <c r="G50" s="23">
        <v>480</v>
      </c>
      <c r="H50" s="32">
        <f t="shared" si="11"/>
        <v>0</v>
      </c>
      <c r="I50" s="23">
        <v>0</v>
      </c>
      <c r="J50" s="23"/>
      <c r="K50" s="23">
        <v>0</v>
      </c>
      <c r="L50" s="34">
        <f t="shared" si="1"/>
        <v>0</v>
      </c>
      <c r="M50" s="34">
        <f t="shared" si="2"/>
        <v>0</v>
      </c>
      <c r="N50" s="23">
        <v>0</v>
      </c>
      <c r="O50" s="23">
        <v>0</v>
      </c>
      <c r="P50" s="23">
        <v>0</v>
      </c>
      <c r="Q50" s="37">
        <f>VLOOKUP(D50,Données!$C$2:$E$1300,3,FALSE)</f>
        <v>4.75</v>
      </c>
      <c r="R50" s="38" t="str">
        <f>IF(H50&gt;0,L50/H50,"")</f>
        <v/>
      </c>
      <c r="S50" s="38" t="str">
        <f t="shared" si="3"/>
        <v/>
      </c>
      <c r="T50" s="38" t="str">
        <f t="shared" si="4"/>
        <v/>
      </c>
      <c r="U50" s="38" t="str">
        <f t="shared" si="5"/>
        <v/>
      </c>
      <c r="V50" s="25">
        <f>VLOOKUP(D50,Données!$C$2:$E$1300,3,FALSE)</f>
        <v>4.75</v>
      </c>
      <c r="W50">
        <v>0</v>
      </c>
      <c r="X50" s="39">
        <f t="shared" si="10"/>
        <v>0</v>
      </c>
      <c r="Y50" s="26" t="str">
        <f t="shared" si="6"/>
        <v/>
      </c>
    </row>
    <row r="51" spans="1:25">
      <c r="A51" s="21">
        <v>46302</v>
      </c>
      <c r="B51" s="41" t="s">
        <v>34</v>
      </c>
      <c r="C51" s="31" t="s">
        <v>4</v>
      </c>
      <c r="D51" s="22" t="s">
        <v>37</v>
      </c>
      <c r="E51" s="32" t="str">
        <f>VLOOKUP(D51,Données!$C$2:$D$1300,2,FALSE)</f>
        <v>Cover KIKO</v>
      </c>
      <c r="F51" s="23">
        <v>480</v>
      </c>
      <c r="G51" s="23">
        <v>480</v>
      </c>
      <c r="H51" s="32">
        <f t="shared" si="11"/>
        <v>0</v>
      </c>
      <c r="I51" s="23">
        <v>0</v>
      </c>
      <c r="J51" s="23"/>
      <c r="K51" s="23">
        <v>0</v>
      </c>
      <c r="L51" s="34">
        <f t="shared" si="1"/>
        <v>0</v>
      </c>
      <c r="M51" s="34">
        <f t="shared" si="2"/>
        <v>0</v>
      </c>
      <c r="N51" s="23">
        <v>0</v>
      </c>
      <c r="O51" s="23">
        <v>0</v>
      </c>
      <c r="P51" s="23">
        <v>0</v>
      </c>
      <c r="Q51" s="37">
        <f>VLOOKUP(D51,Données!$C$2:$E$1300,3,FALSE)</f>
        <v>4.875</v>
      </c>
      <c r="R51" s="38" t="str">
        <f>IF(H51&gt;0,L51/H51,"")</f>
        <v/>
      </c>
      <c r="S51" s="38" t="str">
        <f t="shared" si="3"/>
        <v/>
      </c>
      <c r="T51" s="38" t="str">
        <f t="shared" si="4"/>
        <v/>
      </c>
      <c r="U51" s="38" t="str">
        <f t="shared" si="5"/>
        <v/>
      </c>
      <c r="V51" s="25">
        <f>VLOOKUP(D51,Données!$C$2:$E$1300,3,FALSE)</f>
        <v>4.875</v>
      </c>
      <c r="W51">
        <v>0</v>
      </c>
      <c r="X51" s="39">
        <f t="shared" si="10"/>
        <v>0</v>
      </c>
      <c r="Y51" s="26" t="str">
        <f t="shared" si="6"/>
        <v/>
      </c>
    </row>
    <row r="52" spans="1:25">
      <c r="A52" s="21">
        <v>46302</v>
      </c>
      <c r="B52" s="41" t="s">
        <v>38</v>
      </c>
      <c r="C52" s="31" t="s">
        <v>0</v>
      </c>
      <c r="D52" s="22" t="s">
        <v>35</v>
      </c>
      <c r="E52" s="32" t="str">
        <f>VLOOKUP(D52,Données!$C$2:$D$1300,2,FALSE)</f>
        <v>Insert KIKO</v>
      </c>
      <c r="F52" s="23">
        <v>480</v>
      </c>
      <c r="G52" s="23"/>
      <c r="H52" s="32">
        <f t="shared" si="11"/>
        <v>480</v>
      </c>
      <c r="I52" s="23">
        <v>0</v>
      </c>
      <c r="J52" s="23">
        <v>45</v>
      </c>
      <c r="K52" s="23">
        <v>0</v>
      </c>
      <c r="L52" s="34">
        <f t="shared" si="1"/>
        <v>435</v>
      </c>
      <c r="M52" s="34">
        <f t="shared" si="2"/>
        <v>4030</v>
      </c>
      <c r="N52" s="23">
        <v>4025</v>
      </c>
      <c r="O52" s="23">
        <v>5</v>
      </c>
      <c r="P52" s="23">
        <v>0</v>
      </c>
      <c r="Q52" s="37">
        <f>VLOOKUP(D52,Données!$C$2:$E$1300,3,FALSE)</f>
        <v>3.75</v>
      </c>
      <c r="R52" s="38">
        <f>IF(H52&gt;0,L52/H52,"")</f>
        <v>0.90625</v>
      </c>
      <c r="S52" s="38">
        <f t="shared" si="3"/>
        <v>0.57902298850574707</v>
      </c>
      <c r="T52" s="38">
        <f t="shared" si="4"/>
        <v>0.99875930521091816</v>
      </c>
      <c r="U52" s="38">
        <f t="shared" si="5"/>
        <v>0.52408854166666663</v>
      </c>
      <c r="V52" s="25">
        <f>VLOOKUP(D52,Données!$C$2:$E$1300,3,FALSE)</f>
        <v>3.75</v>
      </c>
      <c r="W52">
        <v>8</v>
      </c>
      <c r="X52" s="39">
        <f t="shared" si="10"/>
        <v>4.192708333333333</v>
      </c>
      <c r="Y52" s="26">
        <f t="shared" si="6"/>
        <v>0.52408854166666663</v>
      </c>
    </row>
    <row r="53" spans="1:25">
      <c r="A53" s="21">
        <v>46302</v>
      </c>
      <c r="B53" s="41" t="s">
        <v>38</v>
      </c>
      <c r="C53" s="31" t="s">
        <v>2</v>
      </c>
      <c r="D53" s="22" t="s">
        <v>36</v>
      </c>
      <c r="E53" s="32" t="str">
        <f>VLOOKUP(D53,Données!$C$2:$D$1300,2,FALSE)</f>
        <v>Base KIKO</v>
      </c>
      <c r="F53" s="23">
        <v>480</v>
      </c>
      <c r="G53" s="23"/>
      <c r="H53" s="32">
        <f t="shared" si="11"/>
        <v>480</v>
      </c>
      <c r="I53" s="23">
        <v>0</v>
      </c>
      <c r="J53" s="23">
        <v>45</v>
      </c>
      <c r="K53" s="23">
        <v>0</v>
      </c>
      <c r="L53" s="34">
        <f t="shared" si="1"/>
        <v>435</v>
      </c>
      <c r="M53" s="34">
        <f t="shared" si="2"/>
        <v>1181</v>
      </c>
      <c r="N53" s="23">
        <v>1163</v>
      </c>
      <c r="O53" s="23">
        <v>18</v>
      </c>
      <c r="P53" s="23">
        <v>0</v>
      </c>
      <c r="Q53" s="37">
        <f>VLOOKUP(D53,Données!$C$2:$E$1300,3,FALSE)</f>
        <v>4.75</v>
      </c>
      <c r="R53" s="38">
        <f>IF(H53&gt;0,L53/H53,"")</f>
        <v>0.90625</v>
      </c>
      <c r="S53" s="38">
        <f t="shared" si="3"/>
        <v>0.21493295019157088</v>
      </c>
      <c r="T53" s="38">
        <f t="shared" si="4"/>
        <v>0.98475867908552073</v>
      </c>
      <c r="U53" s="38">
        <f t="shared" si="5"/>
        <v>0.19181423611111112</v>
      </c>
      <c r="V53" s="25">
        <f>VLOOKUP(D53,Données!$C$2:$E$1300,3,FALSE)</f>
        <v>4.75</v>
      </c>
      <c r="W53">
        <v>8</v>
      </c>
      <c r="X53" s="39">
        <f t="shared" si="10"/>
        <v>1.534513888888889</v>
      </c>
      <c r="Y53" s="26">
        <f t="shared" si="6"/>
        <v>0.19181423611111112</v>
      </c>
    </row>
    <row r="54" spans="1:25">
      <c r="A54" s="21">
        <v>46302</v>
      </c>
      <c r="B54" s="41" t="s">
        <v>38</v>
      </c>
      <c r="C54" s="31" t="s">
        <v>4</v>
      </c>
      <c r="D54" s="22" t="s">
        <v>37</v>
      </c>
      <c r="E54" s="32" t="str">
        <f>VLOOKUP(D54,Données!$C$2:$D$1300,2,FALSE)</f>
        <v>Cover KIKO</v>
      </c>
      <c r="F54" s="23">
        <v>480</v>
      </c>
      <c r="G54" s="23"/>
      <c r="H54" s="32">
        <f t="shared" si="11"/>
        <v>480</v>
      </c>
      <c r="I54" s="23">
        <v>0</v>
      </c>
      <c r="J54" s="23">
        <v>45</v>
      </c>
      <c r="K54" s="23">
        <v>0</v>
      </c>
      <c r="L54" s="34">
        <f t="shared" si="1"/>
        <v>435</v>
      </c>
      <c r="M54" s="34">
        <f t="shared" si="2"/>
        <v>4579</v>
      </c>
      <c r="N54" s="23">
        <v>4568</v>
      </c>
      <c r="O54" s="23">
        <v>11</v>
      </c>
      <c r="P54" s="23">
        <v>0</v>
      </c>
      <c r="Q54" s="37">
        <f>VLOOKUP(D54,Données!$C$2:$E$1300,3,FALSE)</f>
        <v>4.875</v>
      </c>
      <c r="R54" s="38">
        <f>IF(H54&gt;0,L54/H54,"")</f>
        <v>0.90625</v>
      </c>
      <c r="S54" s="38">
        <f t="shared" si="3"/>
        <v>0.85527298850574707</v>
      </c>
      <c r="T54" s="38">
        <f t="shared" si="4"/>
        <v>0.99759772876173836</v>
      </c>
      <c r="U54" s="38">
        <f t="shared" si="5"/>
        <v>0.77322916666666663</v>
      </c>
      <c r="V54" s="25">
        <f>VLOOKUP(D54,Données!$C$2:$E$1300,3,FALSE)</f>
        <v>4.875</v>
      </c>
      <c r="W54">
        <v>8</v>
      </c>
      <c r="X54" s="39">
        <f t="shared" si="10"/>
        <v>6.1858333333333331</v>
      </c>
      <c r="Y54" s="26">
        <f t="shared" si="6"/>
        <v>0.77322916666666663</v>
      </c>
    </row>
    <row r="55" spans="1:25">
      <c r="A55" s="21">
        <v>46302</v>
      </c>
      <c r="B55" s="41" t="s">
        <v>76</v>
      </c>
      <c r="C55" s="31" t="s">
        <v>0</v>
      </c>
      <c r="D55" s="22" t="s">
        <v>35</v>
      </c>
      <c r="E55" s="32" t="str">
        <f>VLOOKUP(D55,Données!$C$2:$D$1300,2,FALSE)</f>
        <v>Insert KIKO</v>
      </c>
      <c r="F55" s="23">
        <v>480</v>
      </c>
      <c r="G55" s="23"/>
      <c r="H55" s="32">
        <f t="shared" si="11"/>
        <v>480</v>
      </c>
      <c r="I55" s="23">
        <v>0</v>
      </c>
      <c r="J55" s="23">
        <v>25</v>
      </c>
      <c r="K55" s="23">
        <v>0</v>
      </c>
      <c r="L55" s="34">
        <f t="shared" si="1"/>
        <v>455</v>
      </c>
      <c r="M55" s="34">
        <f t="shared" si="2"/>
        <v>5771</v>
      </c>
      <c r="N55" s="23">
        <v>5716</v>
      </c>
      <c r="O55" s="23">
        <v>55</v>
      </c>
      <c r="P55" s="23">
        <v>0</v>
      </c>
      <c r="Q55" s="37">
        <f>VLOOKUP(D55,Données!$C$2:$E$1300,3,FALSE)</f>
        <v>3.75</v>
      </c>
      <c r="R55" s="38">
        <f>IF(H55&gt;0,L55/H55,"")</f>
        <v>0.94791666666666663</v>
      </c>
      <c r="S55" s="38">
        <f t="shared" si="3"/>
        <v>0.79271978021978018</v>
      </c>
      <c r="T55" s="38">
        <f t="shared" si="4"/>
        <v>0.99046958932594009</v>
      </c>
      <c r="U55" s="38">
        <f t="shared" si="5"/>
        <v>0.74427083333333333</v>
      </c>
      <c r="V55" s="25">
        <f>VLOOKUP(D55,Données!$C$2:$E$1300,3,FALSE)</f>
        <v>3.75</v>
      </c>
      <c r="W55">
        <v>8</v>
      </c>
      <c r="X55" s="39">
        <f t="shared" si="10"/>
        <v>5.9541666666666666</v>
      </c>
      <c r="Y55" s="26">
        <f t="shared" si="6"/>
        <v>0.74427083333333333</v>
      </c>
    </row>
    <row r="56" spans="1:25">
      <c r="A56" s="21">
        <v>46302</v>
      </c>
      <c r="B56" s="41" t="s">
        <v>76</v>
      </c>
      <c r="C56" s="31" t="s">
        <v>2</v>
      </c>
      <c r="D56" s="22" t="s">
        <v>36</v>
      </c>
      <c r="E56" s="32" t="str">
        <f>VLOOKUP(D56,Données!$C$2:$D$1300,2,FALSE)</f>
        <v>Base KIKO</v>
      </c>
      <c r="F56" s="23">
        <v>480</v>
      </c>
      <c r="G56" s="23"/>
      <c r="H56" s="32">
        <f t="shared" si="11"/>
        <v>480</v>
      </c>
      <c r="I56" s="23">
        <v>0</v>
      </c>
      <c r="J56" s="23">
        <v>25</v>
      </c>
      <c r="K56" s="23">
        <v>0</v>
      </c>
      <c r="L56" s="34">
        <f t="shared" si="1"/>
        <v>455</v>
      </c>
      <c r="M56" s="34">
        <f t="shared" si="2"/>
        <v>6304</v>
      </c>
      <c r="N56" s="23">
        <v>6289</v>
      </c>
      <c r="O56" s="23">
        <v>15</v>
      </c>
      <c r="P56" s="23">
        <v>0</v>
      </c>
      <c r="Q56" s="37">
        <f>VLOOKUP(D56,Données!$C$2:$E$1300,3,FALSE)</f>
        <v>4.75</v>
      </c>
      <c r="R56" s="38">
        <f>IF(H56&gt;0,L56/H56,"")</f>
        <v>0.94791666666666663</v>
      </c>
      <c r="S56" s="38">
        <f t="shared" si="3"/>
        <v>1.0968498168498169</v>
      </c>
      <c r="T56" s="38">
        <f t="shared" si="4"/>
        <v>0.99762055837563457</v>
      </c>
      <c r="U56" s="38">
        <f t="shared" si="5"/>
        <v>1.0372482638888889</v>
      </c>
      <c r="V56" s="25">
        <f>VLOOKUP(D56,Données!$C$2:$E$1300,3,FALSE)</f>
        <v>4.75</v>
      </c>
      <c r="W56">
        <v>8</v>
      </c>
      <c r="X56" s="39">
        <f t="shared" si="10"/>
        <v>8.2979861111111113</v>
      </c>
      <c r="Y56" s="26">
        <f t="shared" si="6"/>
        <v>1.0372482638888889</v>
      </c>
    </row>
    <row r="57" spans="1:25">
      <c r="A57" s="21">
        <v>46302</v>
      </c>
      <c r="B57" s="41" t="s">
        <v>76</v>
      </c>
      <c r="C57" s="31" t="s">
        <v>4</v>
      </c>
      <c r="D57" s="22" t="s">
        <v>37</v>
      </c>
      <c r="E57" s="32" t="str">
        <f>VLOOKUP(D57,Données!$C$2:$D$1300,2,FALSE)</f>
        <v>Cover KIKO</v>
      </c>
      <c r="F57" s="23">
        <v>480</v>
      </c>
      <c r="G57" s="23"/>
      <c r="H57" s="32">
        <f t="shared" si="11"/>
        <v>480</v>
      </c>
      <c r="I57" s="23">
        <v>0</v>
      </c>
      <c r="J57" s="23">
        <v>25</v>
      </c>
      <c r="K57" s="23">
        <v>0</v>
      </c>
      <c r="L57" s="34">
        <f t="shared" si="1"/>
        <v>455</v>
      </c>
      <c r="M57" s="34">
        <f t="shared" si="2"/>
        <v>6112</v>
      </c>
      <c r="N57" s="23">
        <v>6066</v>
      </c>
      <c r="O57" s="23">
        <v>46</v>
      </c>
      <c r="P57" s="23">
        <v>0</v>
      </c>
      <c r="Q57" s="37">
        <f>VLOOKUP(D57,Données!$C$2:$E$1300,3,FALSE)</f>
        <v>4.875</v>
      </c>
      <c r="R57" s="38">
        <f>IF(H57&gt;0,L57/H57,"")</f>
        <v>0.94791666666666663</v>
      </c>
      <c r="S57" s="38">
        <f t="shared" si="3"/>
        <v>1.0914285714285714</v>
      </c>
      <c r="T57" s="38">
        <f t="shared" si="4"/>
        <v>0.99247382198952883</v>
      </c>
      <c r="U57" s="38">
        <f t="shared" si="5"/>
        <v>1.0267968749999998</v>
      </c>
      <c r="V57" s="25">
        <f>VLOOKUP(D57,Données!$C$2:$E$1300,3,FALSE)</f>
        <v>4.875</v>
      </c>
      <c r="W57">
        <v>8</v>
      </c>
      <c r="X57" s="39">
        <f t="shared" si="10"/>
        <v>8.2143750000000004</v>
      </c>
      <c r="Y57" s="26">
        <f t="shared" si="6"/>
        <v>1.0267968750000001</v>
      </c>
    </row>
    <row r="58" spans="1:25">
      <c r="A58" s="21">
        <v>46303</v>
      </c>
      <c r="B58" s="41" t="s">
        <v>34</v>
      </c>
      <c r="C58" s="31" t="s">
        <v>0</v>
      </c>
      <c r="D58" s="22" t="s">
        <v>35</v>
      </c>
      <c r="E58" s="32" t="str">
        <f>VLOOKUP(D58,Données!$C$2:$D$1300,2,FALSE)</f>
        <v>Insert KIKO</v>
      </c>
      <c r="F58" s="23">
        <v>480</v>
      </c>
      <c r="G58" s="23">
        <v>480</v>
      </c>
      <c r="H58" s="32">
        <f t="shared" si="11"/>
        <v>0</v>
      </c>
      <c r="I58" s="23">
        <v>0</v>
      </c>
      <c r="J58" s="23"/>
      <c r="K58" s="23">
        <v>0</v>
      </c>
      <c r="L58" s="34">
        <f t="shared" si="1"/>
        <v>0</v>
      </c>
      <c r="M58" s="34">
        <f t="shared" si="2"/>
        <v>0</v>
      </c>
      <c r="N58" s="23">
        <v>0</v>
      </c>
      <c r="O58" s="23">
        <v>0</v>
      </c>
      <c r="P58" s="23">
        <v>0</v>
      </c>
      <c r="Q58" s="37">
        <f>VLOOKUP(D58,Données!$C$2:$E$1300,3,FALSE)</f>
        <v>3.75</v>
      </c>
      <c r="R58" s="38" t="str">
        <f>IF(H58&gt;0,L58/H58,"")</f>
        <v/>
      </c>
      <c r="S58" s="38" t="str">
        <f t="shared" si="3"/>
        <v/>
      </c>
      <c r="T58" s="38" t="str">
        <f t="shared" si="4"/>
        <v/>
      </c>
      <c r="U58" s="38" t="str">
        <f t="shared" si="5"/>
        <v/>
      </c>
      <c r="V58" s="25">
        <f>VLOOKUP(D58,Données!$C$2:$E$1300,3,FALSE)</f>
        <v>3.75</v>
      </c>
      <c r="W58">
        <v>0</v>
      </c>
      <c r="X58" s="39">
        <f t="shared" si="10"/>
        <v>0</v>
      </c>
      <c r="Y58" s="26" t="str">
        <f t="shared" si="6"/>
        <v/>
      </c>
    </row>
    <row r="59" spans="1:25">
      <c r="A59" s="21">
        <v>46303</v>
      </c>
      <c r="B59" s="41" t="s">
        <v>34</v>
      </c>
      <c r="C59" s="31" t="s">
        <v>2</v>
      </c>
      <c r="D59" s="22" t="s">
        <v>36</v>
      </c>
      <c r="E59" s="32" t="str">
        <f>VLOOKUP(D59,Données!$C$2:$D$1300,2,FALSE)</f>
        <v>Base KIKO</v>
      </c>
      <c r="F59" s="23">
        <v>480</v>
      </c>
      <c r="G59" s="23">
        <v>480</v>
      </c>
      <c r="H59" s="32">
        <f t="shared" si="11"/>
        <v>0</v>
      </c>
      <c r="I59" s="23">
        <v>0</v>
      </c>
      <c r="J59" s="23"/>
      <c r="K59" s="23">
        <v>0</v>
      </c>
      <c r="L59" s="34">
        <f t="shared" si="1"/>
        <v>0</v>
      </c>
      <c r="M59" s="34">
        <f t="shared" si="2"/>
        <v>0</v>
      </c>
      <c r="N59" s="23">
        <v>0</v>
      </c>
      <c r="O59" s="23">
        <v>0</v>
      </c>
      <c r="P59" s="23">
        <v>0</v>
      </c>
      <c r="Q59" s="37">
        <f>VLOOKUP(D59,Données!$C$2:$E$1300,3,FALSE)</f>
        <v>4.75</v>
      </c>
      <c r="R59" s="38" t="str">
        <f>IF(H59&gt;0,L59/H59,"")</f>
        <v/>
      </c>
      <c r="S59" s="38" t="str">
        <f t="shared" si="3"/>
        <v/>
      </c>
      <c r="T59" s="38" t="str">
        <f t="shared" si="4"/>
        <v/>
      </c>
      <c r="U59" s="38" t="str">
        <f t="shared" si="5"/>
        <v/>
      </c>
      <c r="V59" s="25">
        <f>VLOOKUP(D59,Données!$C$2:$E$1300,3,FALSE)</f>
        <v>4.75</v>
      </c>
      <c r="W59">
        <v>0</v>
      </c>
      <c r="X59" s="39">
        <f t="shared" si="10"/>
        <v>0</v>
      </c>
      <c r="Y59" s="26" t="str">
        <f t="shared" si="6"/>
        <v/>
      </c>
    </row>
    <row r="60" spans="1:25">
      <c r="A60" s="21">
        <v>46303</v>
      </c>
      <c r="B60" s="41" t="s">
        <v>34</v>
      </c>
      <c r="C60" s="31" t="s">
        <v>4</v>
      </c>
      <c r="D60" s="22" t="s">
        <v>37</v>
      </c>
      <c r="E60" s="32" t="str">
        <f>VLOOKUP(D60,Données!$C$2:$D$1300,2,FALSE)</f>
        <v>Cover KIKO</v>
      </c>
      <c r="F60" s="23">
        <v>480</v>
      </c>
      <c r="G60" s="23">
        <v>480</v>
      </c>
      <c r="H60" s="32">
        <f t="shared" si="11"/>
        <v>0</v>
      </c>
      <c r="I60" s="23">
        <v>0</v>
      </c>
      <c r="J60" s="23"/>
      <c r="K60" s="23">
        <v>0</v>
      </c>
      <c r="L60" s="34">
        <f t="shared" si="1"/>
        <v>0</v>
      </c>
      <c r="M60" s="34">
        <f t="shared" si="2"/>
        <v>0</v>
      </c>
      <c r="N60" s="23">
        <v>0</v>
      </c>
      <c r="O60" s="23">
        <v>0</v>
      </c>
      <c r="P60" s="23">
        <v>0</v>
      </c>
      <c r="Q60" s="37">
        <f>VLOOKUP(D60,Données!$C$2:$E$1300,3,FALSE)</f>
        <v>4.875</v>
      </c>
      <c r="R60" s="38" t="str">
        <f>IF(H60&gt;0,L60/H60,"")</f>
        <v/>
      </c>
      <c r="S60" s="38" t="str">
        <f t="shared" si="3"/>
        <v/>
      </c>
      <c r="T60" s="38" t="str">
        <f t="shared" si="4"/>
        <v/>
      </c>
      <c r="U60" s="38" t="str">
        <f t="shared" si="5"/>
        <v/>
      </c>
      <c r="V60" s="25">
        <f>VLOOKUP(D60,Données!$C$2:$E$1300,3,FALSE)</f>
        <v>4.875</v>
      </c>
      <c r="W60">
        <v>0</v>
      </c>
      <c r="X60" s="39">
        <f t="shared" si="10"/>
        <v>0</v>
      </c>
      <c r="Y60" s="26" t="str">
        <f t="shared" si="6"/>
        <v/>
      </c>
    </row>
    <row r="61" spans="1:25">
      <c r="A61" s="21">
        <v>46303</v>
      </c>
      <c r="B61" s="41" t="s">
        <v>38</v>
      </c>
      <c r="C61" s="31" t="s">
        <v>0</v>
      </c>
      <c r="D61" s="22" t="s">
        <v>35</v>
      </c>
      <c r="E61" s="32" t="str">
        <f>VLOOKUP(D61,Données!$C$2:$D$1300,2,FALSE)</f>
        <v>Insert KIKO</v>
      </c>
      <c r="F61" s="23">
        <v>480</v>
      </c>
      <c r="G61" s="23"/>
      <c r="H61" s="32">
        <f t="shared" si="11"/>
        <v>480</v>
      </c>
      <c r="I61" s="23">
        <v>0</v>
      </c>
      <c r="J61" s="23">
        <v>45</v>
      </c>
      <c r="K61" s="23">
        <v>0</v>
      </c>
      <c r="L61" s="34">
        <f t="shared" si="1"/>
        <v>435</v>
      </c>
      <c r="M61" s="34">
        <f t="shared" si="2"/>
        <v>5146</v>
      </c>
      <c r="N61" s="23">
        <v>5139</v>
      </c>
      <c r="O61" s="23">
        <v>7</v>
      </c>
      <c r="P61" s="23">
        <v>0</v>
      </c>
      <c r="Q61" s="37">
        <f>VLOOKUP(D61,Données!$C$2:$E$1300,3,FALSE)</f>
        <v>3.75</v>
      </c>
      <c r="R61" s="38">
        <f>IF(H61&gt;0,L61/H61,"")</f>
        <v>0.90625</v>
      </c>
      <c r="S61" s="38">
        <f t="shared" si="3"/>
        <v>0.73936781609195401</v>
      </c>
      <c r="T61" s="38">
        <f t="shared" si="4"/>
        <v>0.99863972017100666</v>
      </c>
      <c r="U61" s="38">
        <f t="shared" si="5"/>
        <v>0.66914062500000004</v>
      </c>
      <c r="V61" s="25">
        <f>VLOOKUP(D61,Données!$C$2:$E$1300,3,FALSE)</f>
        <v>3.75</v>
      </c>
      <c r="W61">
        <v>8</v>
      </c>
      <c r="X61" s="39">
        <f t="shared" si="10"/>
        <v>5.3531250000000004</v>
      </c>
      <c r="Y61" s="26">
        <f t="shared" si="6"/>
        <v>0.66914062500000004</v>
      </c>
    </row>
    <row r="62" spans="1:25">
      <c r="A62" s="21">
        <v>46303</v>
      </c>
      <c r="B62" s="41" t="s">
        <v>38</v>
      </c>
      <c r="C62" s="31" t="s">
        <v>2</v>
      </c>
      <c r="D62" s="22" t="s">
        <v>36</v>
      </c>
      <c r="E62" s="32" t="str">
        <f>VLOOKUP(D62,Données!$C$2:$D$1300,2,FALSE)</f>
        <v>Base KIKO</v>
      </c>
      <c r="F62" s="23">
        <v>480</v>
      </c>
      <c r="G62" s="23"/>
      <c r="H62" s="32">
        <f t="shared" si="11"/>
        <v>480</v>
      </c>
      <c r="I62" s="23">
        <v>0</v>
      </c>
      <c r="J62" s="23">
        <v>45</v>
      </c>
      <c r="K62" s="23">
        <v>0</v>
      </c>
      <c r="L62" s="34">
        <f t="shared" si="1"/>
        <v>435</v>
      </c>
      <c r="M62" s="34">
        <f t="shared" si="2"/>
        <v>4786</v>
      </c>
      <c r="N62" s="23">
        <v>4773</v>
      </c>
      <c r="O62" s="23">
        <v>13</v>
      </c>
      <c r="P62" s="23">
        <v>0</v>
      </c>
      <c r="Q62" s="37">
        <f>VLOOKUP(D62,Données!$C$2:$E$1300,3,FALSE)</f>
        <v>4.75</v>
      </c>
      <c r="R62" s="38">
        <f>IF(H62&gt;0,L62/H62,"")</f>
        <v>0.90625</v>
      </c>
      <c r="S62" s="38">
        <f t="shared" si="3"/>
        <v>0.87101532567049811</v>
      </c>
      <c r="T62" s="38">
        <f t="shared" si="4"/>
        <v>0.9972837442540744</v>
      </c>
      <c r="U62" s="38">
        <f t="shared" si="5"/>
        <v>0.78721354166666668</v>
      </c>
      <c r="V62" s="25">
        <f>VLOOKUP(D62,Données!$C$2:$E$1300,3,FALSE)</f>
        <v>4.75</v>
      </c>
      <c r="W62">
        <v>8</v>
      </c>
      <c r="X62" s="39">
        <f t="shared" si="10"/>
        <v>6.2977083333333335</v>
      </c>
      <c r="Y62" s="26">
        <f t="shared" si="6"/>
        <v>0.78721354166666668</v>
      </c>
    </row>
    <row r="63" spans="1:25">
      <c r="A63" s="21">
        <v>46303</v>
      </c>
      <c r="B63" s="41" t="s">
        <v>38</v>
      </c>
      <c r="C63" s="31" t="s">
        <v>4</v>
      </c>
      <c r="D63" s="22" t="s">
        <v>37</v>
      </c>
      <c r="E63" s="32" t="str">
        <f>VLOOKUP(D63,Données!$C$2:$D$1300,2,FALSE)</f>
        <v>Cover KIKO</v>
      </c>
      <c r="F63" s="23">
        <v>480</v>
      </c>
      <c r="G63" s="23"/>
      <c r="H63" s="32">
        <f t="shared" si="11"/>
        <v>480</v>
      </c>
      <c r="I63" s="23">
        <v>0</v>
      </c>
      <c r="J63" s="23">
        <v>45</v>
      </c>
      <c r="K63" s="23">
        <v>0</v>
      </c>
      <c r="L63" s="34">
        <f t="shared" si="1"/>
        <v>435</v>
      </c>
      <c r="M63" s="34">
        <f t="shared" si="2"/>
        <v>4722</v>
      </c>
      <c r="N63" s="23">
        <v>4695</v>
      </c>
      <c r="O63" s="23">
        <v>27</v>
      </c>
      <c r="P63" s="23">
        <v>0</v>
      </c>
      <c r="Q63" s="37">
        <f>VLOOKUP(D63,Données!$C$2:$E$1300,3,FALSE)</f>
        <v>4.875</v>
      </c>
      <c r="R63" s="38">
        <f>IF(H63&gt;0,L63/H63,"")</f>
        <v>0.90625</v>
      </c>
      <c r="S63" s="38">
        <f t="shared" si="3"/>
        <v>0.88198275862068953</v>
      </c>
      <c r="T63" s="38">
        <f t="shared" si="4"/>
        <v>0.99428208386277006</v>
      </c>
      <c r="U63" s="38">
        <f t="shared" si="5"/>
        <v>0.79472656249999996</v>
      </c>
      <c r="V63" s="25">
        <f>VLOOKUP(D63,Données!$C$2:$E$1300,3,FALSE)</f>
        <v>4.875</v>
      </c>
      <c r="W63">
        <v>8</v>
      </c>
      <c r="X63" s="39">
        <f t="shared" si="10"/>
        <v>6.3578124999999996</v>
      </c>
      <c r="Y63" s="26">
        <f t="shared" si="6"/>
        <v>0.79472656249999996</v>
      </c>
    </row>
    <row r="64" spans="1:25">
      <c r="A64" s="21">
        <v>46303</v>
      </c>
      <c r="B64" s="41" t="s">
        <v>76</v>
      </c>
      <c r="C64" s="31" t="s">
        <v>0</v>
      </c>
      <c r="D64" s="22" t="s">
        <v>35</v>
      </c>
      <c r="E64" s="32" t="str">
        <f>VLOOKUP(D64,Données!$C$2:$D$1300,2,FALSE)</f>
        <v>Insert KIKO</v>
      </c>
      <c r="F64" s="23">
        <v>480</v>
      </c>
      <c r="G64" s="23"/>
      <c r="H64" s="32">
        <f t="shared" si="11"/>
        <v>480</v>
      </c>
      <c r="I64" s="23">
        <v>0</v>
      </c>
      <c r="J64" s="23">
        <v>25</v>
      </c>
      <c r="K64" s="23">
        <v>0</v>
      </c>
      <c r="L64" s="34">
        <f t="shared" si="1"/>
        <v>455</v>
      </c>
      <c r="M64" s="34">
        <f t="shared" si="2"/>
        <v>7624</v>
      </c>
      <c r="N64" s="23">
        <v>7583</v>
      </c>
      <c r="O64" s="23">
        <v>41</v>
      </c>
      <c r="P64" s="23">
        <v>0</v>
      </c>
      <c r="Q64" s="37">
        <f>VLOOKUP(D64,Données!$C$2:$E$1300,3,FALSE)</f>
        <v>3.75</v>
      </c>
      <c r="R64" s="38">
        <f>IF(H64&gt;0,L64/H64,"")</f>
        <v>0.94791666666666663</v>
      </c>
      <c r="S64" s="38">
        <f t="shared" si="3"/>
        <v>1.0472527472527473</v>
      </c>
      <c r="T64" s="38">
        <f t="shared" si="4"/>
        <v>0.99462224554039869</v>
      </c>
      <c r="U64" s="38">
        <f t="shared" si="5"/>
        <v>0.98736979166666661</v>
      </c>
      <c r="V64" s="25">
        <f>VLOOKUP(D64,Données!$C$2:$E$1300,3,FALSE)</f>
        <v>3.75</v>
      </c>
      <c r="W64">
        <v>8</v>
      </c>
      <c r="X64" s="39">
        <f t="shared" si="10"/>
        <v>7.8989583333333337</v>
      </c>
      <c r="Y64" s="26">
        <f t="shared" si="6"/>
        <v>0.98736979166666672</v>
      </c>
    </row>
    <row r="65" spans="1:25">
      <c r="A65" s="21">
        <v>46303</v>
      </c>
      <c r="B65" s="41" t="s">
        <v>76</v>
      </c>
      <c r="C65" s="31" t="s">
        <v>2</v>
      </c>
      <c r="D65" s="22" t="s">
        <v>36</v>
      </c>
      <c r="E65" s="32" t="str">
        <f>VLOOKUP(D65,Données!$C$2:$D$1300,2,FALSE)</f>
        <v>Base KIKO</v>
      </c>
      <c r="F65" s="23">
        <v>480</v>
      </c>
      <c r="G65" s="23"/>
      <c r="H65" s="32">
        <f t="shared" si="11"/>
        <v>480</v>
      </c>
      <c r="I65" s="23">
        <v>0</v>
      </c>
      <c r="J65" s="23">
        <v>25</v>
      </c>
      <c r="K65" s="23">
        <v>0</v>
      </c>
      <c r="L65" s="34">
        <f t="shared" si="1"/>
        <v>455</v>
      </c>
      <c r="M65" s="34">
        <f t="shared" si="2"/>
        <v>6237</v>
      </c>
      <c r="N65" s="23">
        <v>6229</v>
      </c>
      <c r="O65" s="23">
        <v>8</v>
      </c>
      <c r="P65" s="23">
        <v>0</v>
      </c>
      <c r="Q65" s="37">
        <f>VLOOKUP(D65,Données!$C$2:$E$1300,3,FALSE)</f>
        <v>4.75</v>
      </c>
      <c r="R65" s="38">
        <f>IF(H65&gt;0,L65/H65,"")</f>
        <v>0.94791666666666663</v>
      </c>
      <c r="S65" s="38">
        <f t="shared" si="3"/>
        <v>1.0851923076923076</v>
      </c>
      <c r="T65" s="38">
        <f t="shared" si="4"/>
        <v>0.99871733205066537</v>
      </c>
      <c r="U65" s="38">
        <f t="shared" si="5"/>
        <v>1.0273524305555555</v>
      </c>
      <c r="V65" s="25">
        <f>VLOOKUP(D65,Données!$C$2:$E$1300,3,FALSE)</f>
        <v>4.75</v>
      </c>
      <c r="W65">
        <v>8</v>
      </c>
      <c r="X65" s="39">
        <f t="shared" si="10"/>
        <v>8.2188194444444438</v>
      </c>
      <c r="Y65" s="26">
        <f t="shared" si="6"/>
        <v>1.0273524305555555</v>
      </c>
    </row>
    <row r="66" spans="1:25">
      <c r="A66" s="21">
        <v>46303</v>
      </c>
      <c r="B66" s="41" t="s">
        <v>76</v>
      </c>
      <c r="C66" s="31" t="s">
        <v>4</v>
      </c>
      <c r="D66" s="22" t="s">
        <v>37</v>
      </c>
      <c r="E66" s="32" t="str">
        <f>VLOOKUP(D66,Données!$C$2:$D$1300,2,FALSE)</f>
        <v>Cover KIKO</v>
      </c>
      <c r="F66" s="23">
        <v>480</v>
      </c>
      <c r="G66" s="23"/>
      <c r="H66" s="32">
        <f t="shared" si="11"/>
        <v>480</v>
      </c>
      <c r="I66" s="23">
        <v>0</v>
      </c>
      <c r="J66" s="23">
        <v>25</v>
      </c>
      <c r="K66" s="23">
        <v>0</v>
      </c>
      <c r="L66" s="34">
        <f t="shared" si="1"/>
        <v>455</v>
      </c>
      <c r="M66" s="34">
        <f t="shared" si="2"/>
        <v>5819</v>
      </c>
      <c r="N66" s="23">
        <v>5800</v>
      </c>
      <c r="O66" s="23">
        <v>19</v>
      </c>
      <c r="P66" s="23">
        <v>0</v>
      </c>
      <c r="Q66" s="37">
        <f>VLOOKUP(D66,Données!$C$2:$E$1300,3,FALSE)</f>
        <v>4.875</v>
      </c>
      <c r="R66" s="38">
        <f>IF(H66&gt;0,L66/H66,"")</f>
        <v>0.94791666666666663</v>
      </c>
      <c r="S66" s="38">
        <f t="shared" si="3"/>
        <v>1.0391071428571428</v>
      </c>
      <c r="T66" s="38">
        <f t="shared" si="4"/>
        <v>0.9967348341639457</v>
      </c>
      <c r="U66" s="38">
        <f t="shared" si="5"/>
        <v>0.98177083333333326</v>
      </c>
      <c r="V66" s="25">
        <f>VLOOKUP(D66,Données!$C$2:$E$1300,3,FALSE)</f>
        <v>4.875</v>
      </c>
      <c r="W66">
        <v>8</v>
      </c>
      <c r="X66" s="39">
        <f t="shared" si="10"/>
        <v>7.854166666666667</v>
      </c>
      <c r="Y66" s="26">
        <f t="shared" si="6"/>
        <v>0.98177083333333337</v>
      </c>
    </row>
    <row r="67" spans="1:25">
      <c r="D67" s="22"/>
      <c r="E67" s="32"/>
      <c r="F67" s="23"/>
      <c r="G67" s="23"/>
      <c r="H67" s="32"/>
      <c r="I67" s="23"/>
      <c r="J67" s="23"/>
      <c r="K67" s="23"/>
      <c r="L67" s="34"/>
      <c r="M67" s="34"/>
      <c r="N67" s="23"/>
      <c r="O67" s="23"/>
      <c r="P67" s="23"/>
      <c r="Q67" s="37"/>
      <c r="R67" s="38"/>
      <c r="S67" s="38"/>
      <c r="T67" s="38"/>
      <c r="U67" s="38"/>
      <c r="X67" s="40"/>
    </row>
    <row r="68" spans="1:25">
      <c r="D68" s="22"/>
      <c r="E68" s="32"/>
      <c r="F68" s="23"/>
      <c r="G68" s="23"/>
      <c r="H68" s="32"/>
      <c r="I68" s="23"/>
      <c r="J68" s="23"/>
      <c r="K68" s="23"/>
      <c r="L68" s="34"/>
      <c r="M68" s="34"/>
      <c r="N68" s="23"/>
      <c r="O68" s="23"/>
      <c r="P68" s="23"/>
      <c r="Q68" s="37"/>
      <c r="R68" s="38"/>
      <c r="S68" s="38"/>
      <c r="T68" s="38"/>
      <c r="U68" s="38"/>
      <c r="X68" s="40"/>
    </row>
    <row r="69" spans="1:25">
      <c r="D69" s="22"/>
      <c r="E69" s="32"/>
      <c r="F69" s="23"/>
      <c r="G69" s="23"/>
      <c r="H69" s="32"/>
      <c r="I69" s="23"/>
      <c r="J69" s="23"/>
      <c r="K69" s="23"/>
      <c r="L69" s="34"/>
      <c r="M69" s="34"/>
      <c r="N69" s="23"/>
      <c r="O69" s="23"/>
      <c r="P69" s="23"/>
      <c r="Q69" s="37"/>
      <c r="R69" s="38"/>
      <c r="S69" s="38"/>
      <c r="T69" s="38"/>
      <c r="U69" s="38"/>
      <c r="X69" s="40"/>
    </row>
    <row r="70" spans="1:25">
      <c r="D70" s="22"/>
      <c r="E70" s="32"/>
      <c r="F70" s="23"/>
      <c r="G70" s="23"/>
      <c r="H70" s="32"/>
      <c r="I70" s="23"/>
      <c r="J70" s="23"/>
      <c r="K70" s="23"/>
      <c r="L70" s="34"/>
      <c r="M70" s="34"/>
      <c r="N70" s="23"/>
      <c r="O70" s="23"/>
      <c r="P70" s="23"/>
      <c r="Q70" s="37"/>
      <c r="R70" s="38"/>
      <c r="S70" s="38"/>
      <c r="T70" s="38"/>
      <c r="U70" s="38"/>
      <c r="X70" s="40"/>
    </row>
    <row r="71" spans="1:25">
      <c r="D71" s="22"/>
      <c r="E71" s="32"/>
      <c r="F71" s="23"/>
      <c r="G71" s="23"/>
      <c r="H71" s="32"/>
      <c r="I71" s="23"/>
      <c r="J71" s="23"/>
      <c r="K71" s="23"/>
      <c r="L71" s="34"/>
      <c r="M71" s="34"/>
      <c r="N71" s="23"/>
      <c r="O71" s="23"/>
      <c r="P71" s="23"/>
      <c r="Q71" s="37"/>
      <c r="R71" s="38"/>
      <c r="S71" s="38"/>
      <c r="T71" s="38"/>
      <c r="U71" s="38"/>
      <c r="X71" s="40"/>
    </row>
    <row r="72" spans="1:25">
      <c r="D72" s="22"/>
      <c r="E72" s="32"/>
      <c r="F72" s="23"/>
      <c r="G72" s="23"/>
      <c r="H72" s="32"/>
      <c r="I72" s="23"/>
      <c r="J72" s="23"/>
      <c r="K72" s="23"/>
      <c r="L72" s="34"/>
      <c r="M72" s="34"/>
      <c r="N72" s="23"/>
      <c r="O72" s="23"/>
      <c r="P72" s="23"/>
      <c r="Q72" s="37"/>
      <c r="R72" s="38"/>
      <c r="S72" s="38"/>
      <c r="T72" s="38"/>
      <c r="U72" s="38"/>
      <c r="X72" s="40"/>
    </row>
    <row r="73" spans="1:25">
      <c r="D73" s="22"/>
      <c r="E73" s="32"/>
      <c r="F73" s="23"/>
      <c r="G73" s="23"/>
      <c r="H73" s="32"/>
      <c r="I73" s="23"/>
      <c r="J73" s="23"/>
      <c r="K73" s="23"/>
      <c r="L73" s="34"/>
      <c r="M73" s="34"/>
      <c r="N73" s="23"/>
      <c r="O73" s="23"/>
      <c r="P73" s="23"/>
      <c r="Q73" s="37"/>
      <c r="R73" s="38"/>
      <c r="S73" s="38"/>
      <c r="T73" s="38"/>
      <c r="U73" s="38"/>
      <c r="X73" s="40"/>
    </row>
    <row r="74" spans="1:25">
      <c r="D74" s="22"/>
      <c r="E74" s="32"/>
      <c r="F74" s="23"/>
      <c r="G74" s="23"/>
      <c r="H74" s="32"/>
      <c r="I74" s="23"/>
      <c r="J74" s="23"/>
      <c r="K74" s="23"/>
      <c r="L74" s="34"/>
      <c r="M74" s="34"/>
      <c r="N74" s="23"/>
      <c r="O74" s="23"/>
      <c r="P74" s="23"/>
      <c r="Q74" s="37"/>
      <c r="R74" s="38"/>
      <c r="S74" s="38"/>
      <c r="T74" s="38"/>
      <c r="U74" s="38"/>
      <c r="X74" s="40"/>
    </row>
    <row r="75" spans="1:25">
      <c r="D75" s="22"/>
      <c r="E75" s="32"/>
      <c r="F75" s="23"/>
      <c r="G75" s="23"/>
      <c r="H75" s="32"/>
      <c r="I75" s="23"/>
      <c r="J75" s="23"/>
      <c r="K75" s="23"/>
      <c r="L75" s="34"/>
      <c r="M75" s="34"/>
      <c r="N75" s="23"/>
      <c r="O75" s="23"/>
      <c r="P75" s="23"/>
      <c r="Q75" s="37"/>
      <c r="R75" s="38"/>
      <c r="S75" s="38"/>
      <c r="T75" s="38"/>
      <c r="U75" s="38"/>
      <c r="X75" s="40"/>
    </row>
    <row r="76" spans="1:25">
      <c r="X76" s="40"/>
    </row>
    <row r="77" spans="1:25">
      <c r="X77" s="40"/>
    </row>
    <row r="78" spans="1:25">
      <c r="X78" s="40"/>
    </row>
    <row r="79" spans="1:25">
      <c r="X79" s="40"/>
    </row>
    <row r="80" spans="1:25">
      <c r="X80" s="40"/>
    </row>
    <row r="81" spans="24:24">
      <c r="X81" s="40"/>
    </row>
    <row r="82" spans="24:24">
      <c r="X82" s="40"/>
    </row>
  </sheetData>
  <protectedRanges>
    <protectedRange algorithmName="SHA-512" hashValue="1J1w5cdRlrqRxXg5woLyScLONhJnNT99WjTE5l8gRAP46DVdqqZmxobgJL/oblrSVjaa5b6+uaXrh/vAUypw6w==" saltValue="WtWqy895Vw0tXklV17chpA==" spinCount="100000" sqref="V4:V1300" name="Plage4"/>
    <protectedRange algorithmName="SHA-512" hashValue="5KoI9NDZ520w1Gw7OVAIMJuHXrp5R0L8jANNWy71L8GnYf5sPSniW8lcMRgBjexWrRNGBrXNAAz2cWdmP0icIg==" saltValue="Kv1naok0gWUxDe6Ijy0QPg==" spinCount="100000" sqref="X4:Y1300" name="Plage5"/>
    <protectedRange algorithmName="SHA-512" hashValue="kSH5yBOJdkxeI3iGMlCdmKXIPdRzEy2tYBfB0ufTtrHpLQ8usGHtnoe2ppCDvkLnzsS525fx1gBwa0hG75Ubow==" saltValue="GKy3MENgzn9xN1zn11sDMg==" spinCount="100000" sqref="E4:E75" name="Plage1"/>
  </protectedRanges>
  <autoFilter ref="A3:Y75" xr:uid="{00000000-0001-0000-0100-000000000000}"/>
  <mergeCells count="1">
    <mergeCell ref="A1:Y1"/>
  </mergeCells>
  <dataValidations count="1">
    <dataValidation type="list" allowBlank="1" sqref="B4:B66" xr:uid="{00000000-0002-0000-0100-000000000000}">
      <formula1>"Matin,Après-Midi,Nuit"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1000000}">
          <x14:formula1>
            <xm:f>Données!$A$2:$A$17</xm:f>
          </x14:formula1>
          <xm:sqref>C4:C66</xm:sqref>
        </x14:dataValidation>
        <x14:dataValidation type="list" allowBlank="1" xr:uid="{00000000-0002-0000-0100-000002000000}">
          <x14:formula1>
            <xm:f>Parametres_Moules!$A$4:$A$6</xm:f>
          </x14:formula1>
          <xm:sqref>D4:D75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sqref="A1:I2"/>
    </sheetView>
  </sheetViews>
  <sheetFormatPr baseColWidth="10" defaultColWidth="8.88671875" defaultRowHeight="14.4"/>
  <cols>
    <col min="1" max="1" width="57" customWidth="1"/>
    <col min="2" max="5" width="68" customWidth="1"/>
    <col min="6" max="9" width="72" customWidth="1"/>
  </cols>
  <sheetData>
    <row r="1" spans="1:9">
      <c r="A1" s="17" t="s">
        <v>39</v>
      </c>
      <c r="B1" s="13"/>
      <c r="C1" s="13"/>
      <c r="D1" s="13"/>
      <c r="E1" s="13"/>
      <c r="F1" s="13"/>
      <c r="G1" s="13"/>
      <c r="H1" s="13"/>
      <c r="I1" s="13"/>
    </row>
    <row r="2" spans="1:9">
      <c r="A2" s="13"/>
      <c r="B2" s="13"/>
      <c r="C2" s="13"/>
      <c r="D2" s="13"/>
      <c r="E2" s="13"/>
      <c r="F2" s="13"/>
      <c r="G2" s="13"/>
      <c r="H2" s="13"/>
      <c r="I2" s="13"/>
    </row>
    <row r="3" spans="1:9" ht="17.399999999999999">
      <c r="A3" s="2" t="s">
        <v>40</v>
      </c>
    </row>
    <row r="5" spans="1:9">
      <c r="A5" s="14" t="s">
        <v>41</v>
      </c>
      <c r="B5" s="15"/>
      <c r="C5" s="14" t="s">
        <v>42</v>
      </c>
      <c r="D5" s="15"/>
      <c r="E5" s="14" t="s">
        <v>43</v>
      </c>
      <c r="F5" s="15"/>
      <c r="G5" s="14" t="s">
        <v>44</v>
      </c>
      <c r="H5" s="15"/>
    </row>
    <row r="6" spans="1:9" ht="23.4">
      <c r="A6" s="16" t="e">
        <f>AVERAGE(Saisie_Donnees!U4:U6)</f>
        <v>#DIV/0!</v>
      </c>
      <c r="B6" s="15"/>
      <c r="C6" s="16" t="e">
        <f>AVERAGE(Saisie_Donnees!R4:R6)</f>
        <v>#DIV/0!</v>
      </c>
      <c r="D6" s="15"/>
      <c r="E6" s="16" t="e">
        <f>AVERAGE(Saisie_Donnees!S4:S6)</f>
        <v>#DIV/0!</v>
      </c>
      <c r="F6" s="15"/>
      <c r="G6" s="16" t="e">
        <f>AVERAGE(Saisie_Donnees!T4:T6)</f>
        <v>#DIV/0!</v>
      </c>
      <c r="H6" s="15"/>
    </row>
    <row r="9" spans="1:9" ht="17.399999999999999">
      <c r="A9" s="2" t="s">
        <v>45</v>
      </c>
    </row>
    <row r="11" spans="1:9">
      <c r="A11" s="3" t="s">
        <v>46</v>
      </c>
      <c r="B11" s="3" t="s">
        <v>22</v>
      </c>
      <c r="C11" s="3" t="s">
        <v>25</v>
      </c>
      <c r="D11" s="3" t="s">
        <v>47</v>
      </c>
      <c r="E11" s="3" t="s">
        <v>48</v>
      </c>
      <c r="F11" s="3" t="s">
        <v>49</v>
      </c>
      <c r="G11" s="3" t="s">
        <v>50</v>
      </c>
      <c r="H11" s="3" t="s">
        <v>51</v>
      </c>
      <c r="I11" s="3" t="s">
        <v>52</v>
      </c>
    </row>
    <row r="12" spans="1:9">
      <c r="A12" s="4" t="s">
        <v>53</v>
      </c>
      <c r="B12" s="7">
        <f>SUMIF(Saisie_Donnees!$C$4:$C$6,A12,Saisie_Donnees!$H$4:$H$6)</f>
        <v>0</v>
      </c>
      <c r="C12" s="7">
        <f>SUMIF(Saisie_Donnees!$C$4:$C$6,A12,Saisie_Donnees!$L$4:$L$6)</f>
        <v>0</v>
      </c>
      <c r="D12" s="7">
        <f>SUMIF(Saisie_Donnees!$C$4:$C$6,A12,Saisie_Donnees!$M$4:$M$6)</f>
        <v>0</v>
      </c>
      <c r="E12" s="7">
        <f>SUMIF(Saisie_Donnees!$C$4:$C$6,A12,Saisie_Donnees!$N$4:$N$6)</f>
        <v>0</v>
      </c>
      <c r="F12" s="8" t="e">
        <f>AVERAGEIF(Saisie_Donnees!$C$4:$C$6,A12,Saisie_Donnees!$R$4:$R$6)</f>
        <v>#DIV/0!</v>
      </c>
      <c r="G12" s="8" t="e">
        <f>AVERAGEIF(Saisie_Donnees!$C$4:$C$6,A12,Saisie_Donnees!$S$4:$S$6)</f>
        <v>#DIV/0!</v>
      </c>
      <c r="H12" s="8" t="e">
        <f>AVERAGEIF(Saisie_Donnees!$C$4:$C$6,A12,Saisie_Donnees!$T$4:$T$6)</f>
        <v>#DIV/0!</v>
      </c>
      <c r="I12" s="8" t="e">
        <f>AVERAGEIF(Saisie_Donnees!$C$4:$C$6,A12,Saisie_Donnees!$U$4:$U$6)</f>
        <v>#DIV/0!</v>
      </c>
    </row>
    <row r="13" spans="1:9">
      <c r="A13" s="4" t="s">
        <v>54</v>
      </c>
      <c r="B13" s="7">
        <f>SUMIF(Saisie_Donnees!$C$4:$C$6,A13,Saisie_Donnees!$H$4:$H$6)</f>
        <v>0</v>
      </c>
      <c r="C13" s="7">
        <f>SUMIF(Saisie_Donnees!$C$4:$C$6,A13,Saisie_Donnees!$L$4:$L$6)</f>
        <v>0</v>
      </c>
      <c r="D13" s="7">
        <f>SUMIF(Saisie_Donnees!$C$4:$C$6,A13,Saisie_Donnees!$M$4:$M$6)</f>
        <v>0</v>
      </c>
      <c r="E13" s="7">
        <f>SUMIF(Saisie_Donnees!$C$4:$C$6,A13,Saisie_Donnees!$N$4:$N$6)</f>
        <v>0</v>
      </c>
      <c r="F13" s="8" t="e">
        <f>AVERAGEIF(Saisie_Donnees!$C$4:$C$6,A13,Saisie_Donnees!$R$4:$R$6)</f>
        <v>#DIV/0!</v>
      </c>
      <c r="G13" s="8" t="e">
        <f>AVERAGEIF(Saisie_Donnees!$C$4:$C$6,A13,Saisie_Donnees!$S$4:$S$6)</f>
        <v>#DIV/0!</v>
      </c>
      <c r="H13" s="8" t="e">
        <f>AVERAGEIF(Saisie_Donnees!$C$4:$C$6,A13,Saisie_Donnees!$T$4:$T$6)</f>
        <v>#DIV/0!</v>
      </c>
      <c r="I13" s="8" t="e">
        <f>AVERAGEIF(Saisie_Donnees!$C$4:$C$6,A13,Saisie_Donnees!$U$4:$U$6)</f>
        <v>#DIV/0!</v>
      </c>
    </row>
    <row r="14" spans="1:9">
      <c r="A14" s="4" t="s">
        <v>55</v>
      </c>
      <c r="B14" s="7">
        <f>SUMIF(Saisie_Donnees!$C$4:$C$6,A14,Saisie_Donnees!$H$4:$H$6)</f>
        <v>0</v>
      </c>
      <c r="C14" s="7">
        <f>SUMIF(Saisie_Donnees!$C$4:$C$6,A14,Saisie_Donnees!$L$4:$L$6)</f>
        <v>0</v>
      </c>
      <c r="D14" s="7">
        <f>SUMIF(Saisie_Donnees!$C$4:$C$6,A14,Saisie_Donnees!$M$4:$M$6)</f>
        <v>0</v>
      </c>
      <c r="E14" s="7">
        <f>SUMIF(Saisie_Donnees!$C$4:$C$6,A14,Saisie_Donnees!$N$4:$N$6)</f>
        <v>0</v>
      </c>
      <c r="F14" s="8" t="e">
        <f>AVERAGEIF(Saisie_Donnees!$C$4:$C$6,A14,Saisie_Donnees!$R$4:$R$6)</f>
        <v>#DIV/0!</v>
      </c>
      <c r="G14" s="8" t="e">
        <f>AVERAGEIF(Saisie_Donnees!$C$4:$C$6,A14,Saisie_Donnees!$S$4:$S$6)</f>
        <v>#DIV/0!</v>
      </c>
      <c r="H14" s="8" t="e">
        <f>AVERAGEIF(Saisie_Donnees!$C$4:$C$6,A14,Saisie_Donnees!$T$4:$T$6)</f>
        <v>#DIV/0!</v>
      </c>
      <c r="I14" s="8" t="e">
        <f>AVERAGEIF(Saisie_Donnees!$C$4:$C$6,A14,Saisie_Donnees!$U$4:$U$6)</f>
        <v>#DIV/0!</v>
      </c>
    </row>
    <row r="15" spans="1:9">
      <c r="A15" s="9" t="s">
        <v>56</v>
      </c>
      <c r="B15" s="10">
        <f>SUM(B12:B14)</f>
        <v>0</v>
      </c>
      <c r="C15" s="10">
        <f>SUM(C12:C14)</f>
        <v>0</v>
      </c>
      <c r="D15" s="10">
        <f>SUM(D12:D14)</f>
        <v>0</v>
      </c>
      <c r="E15" s="10">
        <f>SUM(E12:E14)</f>
        <v>0</v>
      </c>
      <c r="F15" s="11" t="e">
        <f>AVERAGE(F12:F14)</f>
        <v>#DIV/0!</v>
      </c>
      <c r="G15" s="11" t="e">
        <f>AVERAGE(G12:G14)</f>
        <v>#DIV/0!</v>
      </c>
      <c r="H15" s="11" t="e">
        <f>AVERAGE(H12:H14)</f>
        <v>#DIV/0!</v>
      </c>
      <c r="I15" s="11" t="e">
        <f>AVERAGE(I12:I14)</f>
        <v>#DIV/0!</v>
      </c>
    </row>
  </sheetData>
  <mergeCells count="9">
    <mergeCell ref="A1:I2"/>
    <mergeCell ref="A5:B5"/>
    <mergeCell ref="C5:D5"/>
    <mergeCell ref="E5:F5"/>
    <mergeCell ref="G5:H5"/>
    <mergeCell ref="A6:B6"/>
    <mergeCell ref="C6:D6"/>
    <mergeCell ref="E6:F6"/>
    <mergeCell ref="G6:H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K21" sqref="K21"/>
    </sheetView>
  </sheetViews>
  <sheetFormatPr baseColWidth="10" defaultColWidth="8.88671875" defaultRowHeight="14.4"/>
  <cols>
    <col min="1" max="1" width="24.33203125" customWidth="1"/>
    <col min="2" max="2" width="20.88671875" style="1" customWidth="1"/>
    <col min="3" max="4" width="17" customWidth="1"/>
  </cols>
  <sheetData>
    <row r="1" spans="1:4" ht="17.399999999999999">
      <c r="A1" s="12" t="s">
        <v>57</v>
      </c>
      <c r="B1" s="13"/>
      <c r="C1" s="13"/>
      <c r="D1" s="13"/>
    </row>
    <row r="3" spans="1:4">
      <c r="A3" s="3" t="s">
        <v>19</v>
      </c>
      <c r="B3" s="3" t="s">
        <v>58</v>
      </c>
      <c r="C3" s="3" t="s">
        <v>59</v>
      </c>
      <c r="D3" s="3" t="s">
        <v>29</v>
      </c>
    </row>
    <row r="4" spans="1:4">
      <c r="A4" s="4" t="s">
        <v>37</v>
      </c>
      <c r="B4" s="4" t="s">
        <v>60</v>
      </c>
      <c r="C4" s="5">
        <v>8</v>
      </c>
      <c r="D4" s="6">
        <v>39</v>
      </c>
    </row>
    <row r="5" spans="1:4">
      <c r="A5" s="4" t="s">
        <v>36</v>
      </c>
      <c r="B5" s="4" t="s">
        <v>61</v>
      </c>
      <c r="C5" s="5">
        <v>8</v>
      </c>
      <c r="D5" s="6">
        <v>38</v>
      </c>
    </row>
    <row r="6" spans="1:4">
      <c r="A6" s="4" t="s">
        <v>35</v>
      </c>
      <c r="B6" s="4" t="s">
        <v>62</v>
      </c>
      <c r="C6" s="5">
        <v>8</v>
      </c>
      <c r="D6" s="6">
        <v>30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Données</vt:lpstr>
      <vt:lpstr>Saisie_Donnees</vt:lpstr>
      <vt:lpstr>Dashboard_TRS</vt:lpstr>
      <vt:lpstr>Parametres_Moules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Walid Abbes</cp:lastModifiedBy>
  <cp:lastPrinted>2026-10-08T14:30:00Z</cp:lastPrinted>
  <dcterms:created xsi:type="dcterms:W3CDTF">2026-10-06T12:11:00Z</dcterms:created>
  <dcterms:modified xsi:type="dcterms:W3CDTF">2026-10-09T09:46:44Z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CB22CFCEE0D342E4A60AC2C268681E9B_12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